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de8de50aca49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eekly_Data" sheetId="1" r:id="Rc5ebcf7fa9e14b4e"/>
    <x:sheet xmlns:r="http://schemas.openxmlformats.org/officeDocument/2006/relationships" name="Executive_Dashboard" sheetId="2" r:id="Rf113d97af1f74d1b"/>
    <x:sheet xmlns:r="http://schemas.openxmlformats.org/officeDocument/2006/relationships" name="RAID_Log" sheetId="3" r:id="R82898273f46b43d7"/>
    <x:sheet xmlns:r="http://schemas.openxmlformats.org/officeDocument/2006/relationships" name="Action_Plan" sheetId="4" r:id="R679a873690064fc4"/>
    <x:sheet xmlns:r="http://schemas.openxmlformats.org/officeDocument/2006/relationships" name="UAT_Defects" sheetId="5" r:id="Rb2366ccd09a0416f"/>
    <x:sheet xmlns:r="http://schemas.openxmlformats.org/officeDocument/2006/relationships" name="RACI" sheetId="6" r:id="R84f8c113bb154898"/>
    <x:sheet xmlns:r="http://schemas.openxmlformats.org/officeDocument/2006/relationships" name="Cutover_Checklist" sheetId="7" r:id="Ra410cac14b494371"/>
    <x:sheet xmlns:r="http://schemas.openxmlformats.org/officeDocument/2006/relationships" name="Change_Log" sheetId="8" r:id="Re5ee3670391e4c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6500"/>
      </x:font>
      <x:fill>
        <x:patternFill patternType="solid">
          <x:bgColor rgb="FFFFEB9C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65558fe9c54ddf" /><Relationship Type="http://schemas.openxmlformats.org/officeDocument/2006/relationships/theme" Target="/xl/theme/theme1.xml" Id="R8647a089993d41ab" /><Relationship Type="http://schemas.openxmlformats.org/officeDocument/2006/relationships/sharedStrings" Target="/xl/sharedStrings.xml" Id="R44871f7cd82e4a6b" /><Relationship Type="http://schemas.openxmlformats.org/officeDocument/2006/relationships/worksheet" Target="/xl/worksheets/sheet1.xml" Id="Rc5ebcf7fa9e14b4e" /><Relationship Type="http://schemas.openxmlformats.org/officeDocument/2006/relationships/worksheet" Target="/xl/worksheets/sheet2.xml" Id="Rf113d97af1f74d1b" /><Relationship Type="http://schemas.openxmlformats.org/officeDocument/2006/relationships/worksheet" Target="/xl/worksheets/sheet3.xml" Id="R82898273f46b43d7" /><Relationship Type="http://schemas.openxmlformats.org/officeDocument/2006/relationships/worksheet" Target="/xl/worksheets/sheet4.xml" Id="R679a873690064fc4" /><Relationship Type="http://schemas.openxmlformats.org/officeDocument/2006/relationships/worksheet" Target="/xl/worksheets/sheet5.xml" Id="Rb2366ccd09a0416f" /><Relationship Type="http://schemas.openxmlformats.org/officeDocument/2006/relationships/worksheet" Target="/xl/worksheets/sheet6.xml" Id="R84f8c113bb154898" /><Relationship Type="http://schemas.openxmlformats.org/officeDocument/2006/relationships/worksheet" Target="/xl/worksheets/sheet7.xml" Id="Ra410cac14b494371" /><Relationship Type="http://schemas.openxmlformats.org/officeDocument/2006/relationships/worksheet" Target="/xl/worksheets/sheet8.xml" Id="Re5ee3670391e4c7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60d4d639a5746ac" /><Relationship Type="http://schemas.openxmlformats.org/officeDocument/2006/relationships/chart" Target="/xl/drawings/charts/chart2.xml" Id="Rc12831a5f643430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Active User Adoption</a:t>
            </a:r>
          </a:p>
        </c:rich>
      </c:tx>
    </c:title>
    <c:plotArea>
      <c:lineChart>
        <c:grouping val="standard"/>
        <c:ser>
          <c:idx val="0"/>
          <c:order val="0"/>
          <c:tx>
            <c:v>Series 1</c:v>
          </c:tx>
          <c:marker>
            <c:symbol val="none"/>
          </c:marker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"/>
          <c:order val="1"/>
          <c:tx>
            <c:v>Adoption</c:v>
          </c:tx>
          <c:marker>
            <c:symbol val="none"/>
          </c:marker>
          <c:cat>
            <c:strRef>
              <c:f>'Weekly_Data'!$A$2:$A$11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'Weekly_Data'!$C$2:$C$11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Migration Accuracy</a:t>
            </a:r>
          </a:p>
        </c:rich>
      </c:tx>
    </c:title>
    <c:plotArea>
      <c:lineChart>
        <c:grouping val="standard"/>
        <c:ser>
          <c:idx val="0"/>
          <c:order val="0"/>
          <c:tx>
            <c:v>Series 1</c:v>
          </c:tx>
          <c:marker>
            <c:symbol val="none"/>
          </c:marker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"/>
          <c:order val="1"/>
          <c:tx>
            <c:v>Migration Accuracy</c:v>
          </c:tx>
          <c:marker>
            <c:symbol val="none"/>
          </c:marker>
          <c:cat>
            <c:strRef>
              <c:f>'Weekly_Data'!$A$2:$A$11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'Weekly_Data'!$D$2:$D$11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6</xdr:col>
      <xdr:colOff>0</xdr:colOff>
      <xdr:row>36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60d4d639a5746ac"/>
        </a:graphicData>
      </a:graphic>
    </xdr:graphicFrame>
    <xdr:clientData/>
  </xdr:twoCellAnchor>
  <xdr:twoCellAnchor>
    <xdr:from>
      <xdr:col>6</xdr:col>
      <xdr:colOff>0</xdr:colOff>
      <xdr:row>21</xdr:row>
      <xdr:rowOff>0</xdr:rowOff>
    </xdr:from>
    <xdr:to>
      <xdr:col>12</xdr:col>
      <xdr:colOff>0</xdr:colOff>
      <xdr:row>36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12831a5f643430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5f07ef40eb6e4c97" /></Relationships>
</file>

<file path=xl/worksheets/sheet1.xml><?xml version="1.0" encoding="utf-8"?>
<x:worksheet xmlns:x="http://schemas.openxmlformats.org/spreadsheetml/2006/main">
  <x:sheetFormatPr defaultRowHeight="15"/>
  <x:cols>
    <x:col min="1" max="1" width="4.880000114440918" hidden="0" customWidth="1"/>
    <x:col min="2" max="2" width="18.75" hidden="0" customWidth="1"/>
    <x:col min="3" max="3" width="18" hidden="0" customWidth="1"/>
    <x:col min="4" max="4" width="16.6299991607666" hidden="0" customWidth="1"/>
    <x:col min="5" max="5" width="13.130000114440918" hidden="0" customWidth="1"/>
    <x:col min="6" max="6" width="8.880000114440918" hidden="0" customWidth="1"/>
    <x:col min="7" max="7" width="17.25" hidden="0" customWidth="1"/>
    <x:col min="8" max="8" width="8.5" hidden="0" customWidth="1"/>
    <x:col min="9" max="9" width="8.5" hidden="0" customWidth="1"/>
    <x:col min="10" max="10" width="12" hidden="0" customWidth="1"/>
    <x:col min="11" max="11" width="16.3799991607666" hidden="0" customWidth="1"/>
    <x:col min="12" max="12" width="18.3799991607666" hidden="0" customWidth="1"/>
  </x:cols>
  <x:sheetData>
    <x:row r="1">
      <x:c r="A1" s="6" t="str">
        <x:v>Week</x:v>
      </x:c>
      <x:c r="B1" s="12" t="str">
        <x:v>Milestone Completion %</x:v>
      </x:c>
      <x:c r="C1" s="12" t="str">
        <x:v>Active User Adoption %</x:v>
      </x:c>
      <x:c r="D1" s="12" t="str">
        <x:v>Migration Accuracy %</x:v>
      </x:c>
      <x:c r="E1" s="12" t="str">
        <x:v>Duplicate Rate %</x:v>
      </x:c>
      <x:c r="F1" s="12" t="str">
        <x:v>UAT Pass %</x:v>
      </x:c>
      <x:c r="G1" s="12" t="str">
        <x:v>Training Completion %</x:v>
      </x:c>
      <x:c r="H1" s="12" t="str">
        <x:v>Open Sev1</x:v>
      </x:c>
      <x:c r="I1" s="12" t="str">
        <x:v>Open Sev2</x:v>
      </x:c>
      <x:c r="J1" s="12" t="str">
        <x:v>Support Tickets</x:v>
      </x:c>
      <x:c r="K1" s="12" t="str">
        <x:v>Avg Resolution Hours</x:v>
      </x:c>
      <x:c r="L1" s="12" t="str">
        <x:v>Stakeholder Satisfaction</x:v>
      </x:c>
    </x:row>
    <x:row r="2">
      <x:c r="A2" s="12" t="str">
        <x:v>W1</x:v>
      </x:c>
      <x:c r="B2" s="30" t="n">
        <x:v>0.1</x:v>
      </x:c>
      <x:c r="C2" s="30" t="n">
        <x:v>0</x:v>
      </x:c>
      <x:c r="D2" s="30" t="n">
        <x:v>0</x:v>
      </x:c>
      <x:c r="E2" s="30" t="n">
        <x:v>0.11</x:v>
      </x:c>
      <x:c r="F2" s="30" t="n">
        <x:v>0</x:v>
      </x:c>
      <x:c r="G2" s="30" t="n">
        <x:v>0</x:v>
      </x:c>
      <x:c r="H2" s="12" t="n">
        <x:v>0</x:v>
      </x:c>
      <x:c r="I2" s="12" t="n">
        <x:v>0</x:v>
      </x:c>
      <x:c r="J2" s="12" t="n">
        <x:v>0</x:v>
      </x:c>
      <x:c r="K2" s="12" t="n">
        <x:v>0</x:v>
      </x:c>
      <x:c r="L2" s="12" t="n">
        <x:v>3.4</x:v>
      </x:c>
    </x:row>
    <x:row r="3">
      <x:c r="A3" s="12" t="str">
        <x:v>W2</x:v>
      </x:c>
      <x:c r="B3" s="30" t="n">
        <x:v>0.2</x:v>
      </x:c>
      <x:c r="C3" s="30" t="n">
        <x:v>0.05</x:v>
      </x:c>
      <x:c r="D3" s="30" t="n">
        <x:v>0</x:v>
      </x:c>
      <x:c r="E3" s="30" t="n">
        <x:v>0.102</x:v>
      </x:c>
      <x:c r="F3" s="30" t="n">
        <x:v>0</x:v>
      </x:c>
      <x:c r="G3" s="30" t="n">
        <x:v>0</x:v>
      </x:c>
      <x:c r="H3" s="12" t="n">
        <x:v>0</x:v>
      </x:c>
      <x:c r="I3" s="12" t="n">
        <x:v>0</x:v>
      </x:c>
      <x:c r="J3" s="12" t="n">
        <x:v>0</x:v>
      </x:c>
      <x:c r="K3" s="12" t="n">
        <x:v>0</x:v>
      </x:c>
      <x:c r="L3" s="12" t="n">
        <x:v>3.5</x:v>
      </x:c>
    </x:row>
    <x:row r="4">
      <x:c r="A4" s="12" t="str">
        <x:v>W3</x:v>
      </x:c>
      <x:c r="B4" s="30" t="n">
        <x:v>0.3</x:v>
      </x:c>
      <x:c r="C4" s="30" t="n">
        <x:v>0.12</x:v>
      </x:c>
      <x:c r="D4" s="30" t="n">
        <x:v>0.96</x:v>
      </x:c>
      <x:c r="E4" s="30" t="n">
        <x:v>0.088</x:v>
      </x:c>
      <x:c r="F4" s="30" t="n">
        <x:v>0.35</x:v>
      </x:c>
      <x:c r="G4" s="30" t="n">
        <x:v>0</x:v>
      </x:c>
      <x:c r="H4" s="12" t="n">
        <x:v>0</x:v>
      </x:c>
      <x:c r="I4" s="12" t="n">
        <x:v>2</x:v>
      </x:c>
      <x:c r="J4" s="12" t="n">
        <x:v>0</x:v>
      </x:c>
      <x:c r="K4" s="12" t="n">
        <x:v>0</x:v>
      </x:c>
      <x:c r="L4" s="12" t="n">
        <x:v>3.6</x:v>
      </x:c>
    </x:row>
    <x:row r="5">
      <x:c r="A5" s="12" t="str">
        <x:v>W4</x:v>
      </x:c>
      <x:c r="B5" s="30" t="n">
        <x:v>0.4</x:v>
      </x:c>
      <x:c r="C5" s="30" t="n">
        <x:v>0.2</x:v>
      </x:c>
      <x:c r="D5" s="30" t="n">
        <x:v>0.972</x:v>
      </x:c>
      <x:c r="E5" s="30" t="n">
        <x:v>0.075</x:v>
      </x:c>
      <x:c r="F5" s="30" t="n">
        <x:v>0.58</x:v>
      </x:c>
      <x:c r="G5" s="30" t="n">
        <x:v>0.1</x:v>
      </x:c>
      <x:c r="H5" s="12" t="n">
        <x:v>0</x:v>
      </x:c>
      <x:c r="I5" s="12" t="n">
        <x:v>4</x:v>
      </x:c>
      <x:c r="J5" s="12" t="n">
        <x:v>0</x:v>
      </x:c>
      <x:c r="K5" s="12" t="n">
        <x:v>0</x:v>
      </x:c>
      <x:c r="L5" s="12" t="n">
        <x:v>3.7</x:v>
      </x:c>
    </x:row>
    <x:row r="6">
      <x:c r="A6" s="12" t="str">
        <x:v>W5</x:v>
      </x:c>
      <x:c r="B6" s="30" t="n">
        <x:v>0.5</x:v>
      </x:c>
      <x:c r="C6" s="30" t="n">
        <x:v>0.32</x:v>
      </x:c>
      <x:c r="D6" s="30" t="n">
        <x:v>0.98</x:v>
      </x:c>
      <x:c r="E6" s="30" t="n">
        <x:v>0.062</x:v>
      </x:c>
      <x:c r="F6" s="30" t="n">
        <x:v>0.74</x:v>
      </x:c>
      <x:c r="G6" s="30" t="n">
        <x:v>0.35</x:v>
      </x:c>
      <x:c r="H6" s="12" t="n">
        <x:v>0</x:v>
      </x:c>
      <x:c r="I6" s="12" t="n">
        <x:v>5</x:v>
      </x:c>
      <x:c r="J6" s="12" t="n">
        <x:v>0</x:v>
      </x:c>
      <x:c r="K6" s="12" t="n">
        <x:v>0</x:v>
      </x:c>
      <x:c r="L6" s="12" t="n">
        <x:v>3.8</x:v>
      </x:c>
    </x:row>
    <x:row r="7">
      <x:c r="A7" s="12" t="str">
        <x:v>W6</x:v>
      </x:c>
      <x:c r="B7" s="30" t="n">
        <x:v>0.62</x:v>
      </x:c>
      <x:c r="C7" s="30" t="n">
        <x:v>0.48</x:v>
      </x:c>
      <x:c r="D7" s="30" t="n">
        <x:v>0.984</x:v>
      </x:c>
      <x:c r="E7" s="30" t="n">
        <x:v>0.051</x:v>
      </x:c>
      <x:c r="F7" s="30" t="n">
        <x:v>0.86</x:v>
      </x:c>
      <x:c r="G7" s="30" t="n">
        <x:v>0.62</x:v>
      </x:c>
      <x:c r="H7" s="12" t="n">
        <x:v>0</x:v>
      </x:c>
      <x:c r="I7" s="12" t="n">
        <x:v>4</x:v>
      </x:c>
      <x:c r="J7" s="12" t="n">
        <x:v>0</x:v>
      </x:c>
      <x:c r="K7" s="12" t="n">
        <x:v>0</x:v>
      </x:c>
      <x:c r="L7" s="12" t="n">
        <x:v>4</x:v>
      </x:c>
    </x:row>
    <x:row r="8">
      <x:c r="A8" s="12" t="str">
        <x:v>W7</x:v>
      </x:c>
      <x:c r="B8" s="30" t="n">
        <x:v>0.73</x:v>
      </x:c>
      <x:c r="C8" s="30" t="n">
        <x:v>0.64</x:v>
      </x:c>
      <x:c r="D8" s="30" t="n">
        <x:v>0.987</x:v>
      </x:c>
      <x:c r="E8" s="30" t="n">
        <x:v>0.043</x:v>
      </x:c>
      <x:c r="F8" s="30" t="n">
        <x:v>0.92</x:v>
      </x:c>
      <x:c r="G8" s="30" t="n">
        <x:v>0.78</x:v>
      </x:c>
      <x:c r="H8" s="12" t="n">
        <x:v>0</x:v>
      </x:c>
      <x:c r="I8" s="12" t="n">
        <x:v>3</x:v>
      </x:c>
      <x:c r="J8" s="12" t="n">
        <x:v>0</x:v>
      </x:c>
      <x:c r="K8" s="12" t="n">
        <x:v>0</x:v>
      </x:c>
      <x:c r="L8" s="12" t="n">
        <x:v>4.1</x:v>
      </x:c>
    </x:row>
    <x:row r="9">
      <x:c r="A9" s="12" t="str">
        <x:v>W8</x:v>
      </x:c>
      <x:c r="B9" s="30" t="n">
        <x:v>0.84</x:v>
      </x:c>
      <x:c r="C9" s="30" t="n">
        <x:v>0.78</x:v>
      </x:c>
      <x:c r="D9" s="30" t="n">
        <x:v>0.989</x:v>
      </x:c>
      <x:c r="E9" s="30" t="n">
        <x:v>0.036</x:v>
      </x:c>
      <x:c r="F9" s="30" t="n">
        <x:v>0.95</x:v>
      </x:c>
      <x:c r="G9" s="30" t="n">
        <x:v>0.9</x:v>
      </x:c>
      <x:c r="H9" s="12" t="n">
        <x:v>0</x:v>
      </x:c>
      <x:c r="I9" s="12" t="n">
        <x:v>2</x:v>
      </x:c>
      <x:c r="J9" s="12" t="n">
        <x:v>18</x:v>
      </x:c>
      <x:c r="K9" s="12" t="n">
        <x:v>9.5</x:v>
      </x:c>
      <x:c r="L9" s="12" t="n">
        <x:v>4.2</x:v>
      </x:c>
    </x:row>
    <x:row r="10">
      <x:c r="A10" s="12" t="str">
        <x:v>W9</x:v>
      </x:c>
      <x:c r="B10" s="30" t="n">
        <x:v>0.93</x:v>
      </x:c>
      <x:c r="C10" s="30" t="n">
        <x:v>0.87</x:v>
      </x:c>
      <x:c r="D10" s="30" t="n">
        <x:v>0.99</x:v>
      </x:c>
      <x:c r="E10" s="30" t="n">
        <x:v>0.031</x:v>
      </x:c>
      <x:c r="F10" s="30" t="n">
        <x:v>0.96</x:v>
      </x:c>
      <x:c r="G10" s="30" t="n">
        <x:v>0.95</x:v>
      </x:c>
      <x:c r="H10" s="12" t="n">
        <x:v>0</x:v>
      </x:c>
      <x:c r="I10" s="12" t="n">
        <x:v>1</x:v>
      </x:c>
      <x:c r="J10" s="12" t="n">
        <x:v>31</x:v>
      </x:c>
      <x:c r="K10" s="12" t="n">
        <x:v>7.2</x:v>
      </x:c>
      <x:c r="L10" s="12" t="n">
        <x:v>4.3</x:v>
      </x:c>
    </x:row>
    <x:row r="11">
      <x:c r="A11" s="12" t="str">
        <x:v>W10</x:v>
      </x:c>
      <x:c r="B11" s="30" t="n">
        <x:v>1</x:v>
      </x:c>
      <x:c r="C11" s="30" t="n">
        <x:v>0.93</x:v>
      </x:c>
      <x:c r="D11" s="30" t="n">
        <x:v>0.991</x:v>
      </x:c>
      <x:c r="E11" s="30" t="n">
        <x:v>0.027</x:v>
      </x:c>
      <x:c r="F11" s="30" t="n">
        <x:v>0.97</x:v>
      </x:c>
      <x:c r="G11" s="30" t="n">
        <x:v>0.96</x:v>
      </x:c>
      <x:c r="H11" s="12" t="n">
        <x:v>0</x:v>
      </x:c>
      <x:c r="I11" s="12" t="n">
        <x:v>0</x:v>
      </x:c>
      <x:c r="J11" s="12" t="n">
        <x:v>22</x:v>
      </x:c>
      <x:c r="K11" s="12" t="n">
        <x:v>5.8</x:v>
      </x:c>
      <x:c r="L11" s="12" t="n">
        <x:v>4.5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4" hidden="0" customWidth="1"/>
    <x:col min="5" max="5" width="15" hidden="0" customWidth="1"/>
    <x:col min="6" max="6" width="15" hidden="0" customWidth="1"/>
    <x:col min="7" max="7" width="15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28" hidden="0" customWidth="1"/>
  </x:cols>
  <x:sheetData>
    <x:row r="1">
      <x:c r="A1" s="17" t="str">
        <x:v>CRM IMPLEMENTATION | EXECUTIVE PROJECT HEALTH REVIEW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  <x:c r="L1" s="17"/>
    </x:row>
    <x:row r="2">
      <x:c r="A2" s="17"/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</x:row>
    <x:row r="4">
      <x:c r="A4" s="6" t="str">
        <x:v>KPI</x:v>
      </x:c>
      <x:c r="B4" s="6" t="str">
        <x:v>Baseline</x:v>
      </x:c>
      <x:c r="C4" s="6" t="str">
        <x:v>Target</x:v>
      </x:c>
      <x:c r="D4" s="6" t="str">
        <x:v>Current</x:v>
      </x:c>
      <x:c r="E4" s="6" t="str">
        <x:v>Variance</x:v>
      </x:c>
      <x:c r="F4" s="6" t="str">
        <x:v>Attainment</x:v>
      </x:c>
      <x:c r="G4" s="6" t="str">
        <x:v>Trend</x:v>
      </x:c>
      <x:c r="H4" s="6" t="str">
        <x:v>Health</x:v>
      </x:c>
    </x:row>
    <x:row r="5">
      <x:c r="A5" t="str">
        <x:v>Milestone Completion %</x:v>
      </x:c>
      <x:c r="B5" s="26" t="n">
        <x:v>0</x:v>
      </x:c>
      <x:c r="C5" s="26" t="n">
        <x:v>1</x:v>
      </x:c>
      <x:c r="D5" s="26" t="n">
        <x:f>Weekly_Data!B11</x:f>
        <x:v>1</x:v>
      </x:c>
      <x:c r="E5" s="26" t="n">
        <x:f>D5-C5</x:f>
        <x:v>0</x:v>
      </x:c>
      <x:c r="F5" s="26" t="n">
        <x:f>MIN(D5/C5,1)</x:f>
        <x:v>1</x:v>
      </x:c>
      <x:c r="G5" s="26" t="n">
        <x:f>D5-B5</x:f>
        <x:v>1</x:v>
      </x:c>
      <x:c r="H5" t="str">
        <x:f>IF(D5&gt;=C5,"ON TRACK",IF(D5&gt;=C5*0.9,"AT RISK","OFF TRACK"))</x:f>
        <x:v>ON TRACK</x:v>
      </x:c>
    </x:row>
    <x:row r="6">
      <x:c r="A6" t="str">
        <x:v>Active User Adoption %</x:v>
      </x:c>
      <x:c r="B6" s="26" t="n">
        <x:v>0</x:v>
      </x:c>
      <x:c r="C6" s="26" t="n">
        <x:v>0.9</x:v>
      </x:c>
      <x:c r="D6" s="26" t="n">
        <x:f>Weekly_Data!C11</x:f>
        <x:v>0.93</x:v>
      </x:c>
      <x:c r="E6" s="26" t="n">
        <x:f>D6-C6</x:f>
        <x:v>0.030000000000000027</x:v>
      </x:c>
      <x:c r="F6" s="26" t="n">
        <x:f>MIN(D6/C6,1)</x:f>
        <x:v>1</x:v>
      </x:c>
      <x:c r="G6" s="26" t="n">
        <x:f>D6-B6</x:f>
        <x:v>0.93</x:v>
      </x:c>
      <x:c r="H6" t="str">
        <x:f>IF(D6&gt;=C6,"ON TRACK",IF(D6&gt;=C6*0.95,"AT RISK","OFF TRACK"))</x:f>
        <x:v>ON TRACK</x:v>
      </x:c>
    </x:row>
    <x:row r="7">
      <x:c r="A7" t="str">
        <x:v>Migration Accuracy %</x:v>
      </x:c>
      <x:c r="B7" s="26" t="n">
        <x:v>0</x:v>
      </x:c>
      <x:c r="C7" s="26" t="n">
        <x:v>0.98</x:v>
      </x:c>
      <x:c r="D7" s="26" t="n">
        <x:f>Weekly_Data!D11</x:f>
        <x:v>0.991</x:v>
      </x:c>
      <x:c r="E7" s="26" t="n">
        <x:f>D7-C7</x:f>
        <x:v>0.01100000000000001</x:v>
      </x:c>
      <x:c r="F7" s="26" t="n">
        <x:f>MIN(D7/C7,1)</x:f>
        <x:v>1</x:v>
      </x:c>
      <x:c r="G7" s="26" t="n">
        <x:f>D7-B7</x:f>
        <x:v>0.991</x:v>
      </x:c>
      <x:c r="H7" t="str">
        <x:f>IF(D7&gt;=C7,"ON TRACK",IF(D7&gt;=C7*0.99,"AT RISK","OFF TRACK"))</x:f>
        <x:v>ON TRACK</x:v>
      </x:c>
    </x:row>
    <x:row r="8">
      <x:c r="A8" t="str">
        <x:v>Duplicate Rate %</x:v>
      </x:c>
      <x:c r="B8" s="26" t="n">
        <x:v>0.11</x:v>
      </x:c>
      <x:c r="C8" s="26" t="n">
        <x:v>0.03</x:v>
      </x:c>
      <x:c r="D8" s="26" t="n">
        <x:f>Weekly_Data!E11</x:f>
        <x:v>0.027</x:v>
      </x:c>
      <x:c r="E8" s="26" t="n">
        <x:f>C8-D8</x:f>
        <x:v>0.002999999999999999</x:v>
      </x:c>
      <x:c r="F8" s="26" t="n">
        <x:f>IF(D8&lt;=C8,1,C8/D8)</x:f>
        <x:v>1</x:v>
      </x:c>
      <x:c r="G8" s="26" t="n">
        <x:f>B8-D8</x:f>
        <x:v>0.083</x:v>
      </x:c>
      <x:c r="H8" t="str">
        <x:f>IF(D8&lt;=C8,"ON TRACK",IF(D8&lt;=C8*1.15,"AT RISK","OFF TRACK"))</x:f>
        <x:v>ON TRACK</x:v>
      </x:c>
    </x:row>
    <x:row r="9">
      <x:c r="A9" t="str">
        <x:v>UAT Pass %</x:v>
      </x:c>
      <x:c r="B9" s="26" t="n">
        <x:v>0</x:v>
      </x:c>
      <x:c r="C9" s="26" t="n">
        <x:v>0.95</x:v>
      </x:c>
      <x:c r="D9" s="26" t="n">
        <x:f>Weekly_Data!F11</x:f>
        <x:v>0.97</x:v>
      </x:c>
      <x:c r="E9" s="26" t="n">
        <x:f>D9-C9</x:f>
        <x:v>0.020000000000000018</x:v>
      </x:c>
      <x:c r="F9" s="26" t="n">
        <x:f>MIN(D9/C9,1)</x:f>
        <x:v>1</x:v>
      </x:c>
      <x:c r="G9" s="26" t="n">
        <x:f>D9-B9</x:f>
        <x:v>0.97</x:v>
      </x:c>
      <x:c r="H9" t="str">
        <x:f>IF(D9&gt;=C9,"ON TRACK",IF(D9&gt;=C9*0.97,"AT RISK","OFF TRACK"))</x:f>
        <x:v>ON TRACK</x:v>
      </x:c>
    </x:row>
    <x:row r="10">
      <x:c r="A10" t="str">
        <x:v>Training Completion %</x:v>
      </x:c>
      <x:c r="B10" s="26" t="n">
        <x:v>0</x:v>
      </x:c>
      <x:c r="C10" s="26" t="n">
        <x:v>0.95</x:v>
      </x:c>
      <x:c r="D10" s="26" t="n">
        <x:f>Weekly_Data!G11</x:f>
        <x:v>0.96</x:v>
      </x:c>
      <x:c r="E10" s="26" t="n">
        <x:f>D10-C10</x:f>
        <x:v>0.010000000000000009</x:v>
      </x:c>
      <x:c r="F10" s="26" t="n">
        <x:f>MIN(D10/C10,1)</x:f>
        <x:v>1</x:v>
      </x:c>
      <x:c r="G10" s="26" t="n">
        <x:f>D10-B10</x:f>
        <x:v>0.96</x:v>
      </x:c>
      <x:c r="H10" t="str">
        <x:f>IF(D10&gt;=C10,"ON TRACK",IF(D10&gt;=C10*0.97,"AT RISK","OFF TRACK"))</x:f>
        <x:v>ON TRACK</x:v>
      </x:c>
    </x:row>
    <x:row r="11">
      <x:c r="A11" t="str">
        <x:v>Open Sev-1</x:v>
      </x:c>
      <x:c r="B11" s="28" t="n">
        <x:v>0</x:v>
      </x:c>
      <x:c r="C11" s="28" t="n">
        <x:v>0</x:v>
      </x:c>
      <x:c r="D11" s="28" t="n">
        <x:f>Weekly_Data!H11</x:f>
        <x:v>0</x:v>
      </x:c>
      <x:c r="E11" s="28" t="n">
        <x:f>C11-D11</x:f>
        <x:v>0</x:v>
      </x:c>
      <x:c r="F11" s="28" t="n">
        <x:f>IF(D11=0,1,0)</x:f>
        <x:v>1</x:v>
      </x:c>
      <x:c r="G11" s="28" t="n">
        <x:f>B11-D11</x:f>
        <x:v>0</x:v>
      </x:c>
      <x:c r="H11" t="str">
        <x:f>IF(D11=0,"ON TRACK","OFF TRACK")</x:f>
        <x:v>ON TRACK</x:v>
      </x:c>
    </x:row>
    <x:row r="14">
      <x:c r="A14" s="23" t="str">
        <x:v>EXECUTIVE COMMENTARY</x:v>
      </x:c>
      <x:c r="B14" s="23"/>
      <x:c r="C14" s="23"/>
      <x:c r="D14" s="23"/>
      <x:c r="E14" s="23"/>
      <x:c r="F14" s="23"/>
      <x:c r="H14" s="6" t="str">
        <x:v>TOP PRIORITIES</x:v>
      </x:c>
      <x:c r="I14" s="6" t="str">
        <x:v>Owner</x:v>
      </x:c>
      <x:c r="J14" s="6" t="str">
        <x:v>Due</x:v>
      </x:c>
      <x:c r="K14" s="6" t="str">
        <x:v>Status</x:v>
      </x:c>
      <x:c r="L14" s="6" t="str">
        <x:v>Management Response</x:v>
      </x:c>
    </x:row>
    <x:row r="15">
      <x:c r="A15" s="12" t="str">
        <x:v>WHAT HAPPENED: Modeled Week 10 reached go-live and adoption targets.
WHY: Controlled scope, data cleansing, staged UAT, role-based training, and formal go/no-go gates reduced delivery risk.
WHAT WE ARE DOING: Transition to 30-day hypercare, monitor adoption/data quality, and transfer the enhancement backlog.
DECISION NEEDED: Approve hypercare exit criteria and steady-state CRM governance.</x:v>
      </x:c>
      <x:c r="B15" s="12"/>
      <x:c r="C15" s="12"/>
      <x:c r="D15" s="12"/>
      <x:c r="E15" s="12"/>
      <x:c r="F15" s="12"/>
      <x:c r="H15" t="str">
        <x:v>Stabilize post-launch support</x:v>
      </x:c>
      <x:c r="I15" t="str">
        <x:v>CRM Admin</x:v>
      </x:c>
      <x:c r="J15" t="str">
        <x:v>W11</x:v>
      </x:c>
      <x:c r="K15" t="str">
        <x:v>In Progress</x:v>
      </x:c>
      <x:c r="L15" t="str">
        <x:v>Daily triage and aging review</x:v>
      </x:c>
    </x:row>
    <x:row r="16">
      <x:c r="A16" s="12"/>
      <x:c r="B16" s="12"/>
      <x:c r="C16" s="12"/>
      <x:c r="D16" s="12"/>
      <x:c r="E16" s="12"/>
      <x:c r="F16" s="12"/>
      <x:c r="H16" t="str">
        <x:v>Protect adoption</x:v>
      </x:c>
      <x:c r="I16" t="str">
        <x:v>Sales Ops</x:v>
      </x:c>
      <x:c r="J16" t="str">
        <x:v>W12</x:v>
      </x:c>
      <x:c r="K16" t="str">
        <x:v>In Progress</x:v>
      </x:c>
      <x:c r="L16" t="str">
        <x:v>Manager coaching for low-usage teams</x:v>
      </x:c>
    </x:row>
    <x:row r="17">
      <x:c r="A17" s="12"/>
      <x:c r="B17" s="12"/>
      <x:c r="C17" s="12"/>
      <x:c r="D17" s="12"/>
      <x:c r="E17" s="12"/>
      <x:c r="F17" s="12"/>
      <x:c r="H17" t="str">
        <x:v>Control data quality</x:v>
      </x:c>
      <x:c r="I17" t="str">
        <x:v>Data Owner</x:v>
      </x:c>
      <x:c r="J17" t="str">
        <x:v>W12</x:v>
      </x:c>
      <x:c r="K17" t="str">
        <x:v>In Progress</x:v>
      </x:c>
      <x:c r="L17" t="str">
        <x:v>Duplicate and required-field audit</x:v>
      </x:c>
    </x:row>
    <x:row r="18">
      <x:c r="A18" s="12"/>
      <x:c r="B18" s="12"/>
      <x:c r="C18" s="12"/>
      <x:c r="D18" s="12"/>
      <x:c r="E18" s="12"/>
      <x:c r="F18" s="12"/>
      <x:c r="H18" t="str">
        <x:v>Transfer backlog</x:v>
      </x:c>
      <x:c r="I18" t="str">
        <x:v>System Owner</x:v>
      </x:c>
      <x:c r="J18" t="str">
        <x:v>W13</x:v>
      </x:c>
      <x:c r="K18" t="str">
        <x:v>Planned</x:v>
      </x:c>
      <x:c r="L18" t="str">
        <x:v>Prioritize deferred enhancements</x:v>
      </x:c>
    </x:row>
    <x:row r="19">
      <x:c r="A19" s="12"/>
      <x:c r="B19" s="12"/>
      <x:c r="C19" s="12"/>
      <x:c r="D19" s="12"/>
      <x:c r="E19" s="12"/>
      <x:c r="F19" s="12"/>
    </x:row>
  </x:sheetData>
  <x:mergeCells>
    <x:mergeCell ref="A1:L2"/>
    <x:mergeCell ref="A14:F14"/>
    <x:mergeCell ref="A15:F19"/>
  </x:mergeCells>
  <x:conditionalFormatting sqref="H5:H11">
    <x:cfRule type="expression" dxfId="0" priority="1">
      <x:formula>H5="ON TRACK"</x:formula>
    </x:cfRule>
    <x:cfRule type="expression" dxfId="1" priority="2">
      <x:formula>H5="AT RISK"</x:formula>
    </x:cfRule>
    <x:cfRule type="expression" dxfId="2" priority="3">
      <x:formula>H5="OFF TRACK"</x:formula>
    </x:cfRule>
  </x:conditionalFormatting>
  <x:conditionalFormatting sqref="F5:F11">
    <x:cfRule type="dataBar" priority="4">
      <x:dataBar>
        <x:cfvo type="min"/>
        <x:cfvo type="max"/>
        <x:color rgb="FF4472C4"/>
      </x:dataBar>
      <x:extLst>
        <x:ext xmlns:x14="http://schemas.microsoft.com/office/spreadsheetml/2009/9/main" uri="{B025F937-C7B1-47D3-B67F-A62EFF666E3E}">
          <x14:id>{E2B0229A-B8A0-18A0-91E7-8AEF68C0D762}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5f07ef40eb6e4c97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E2B0229A-B8A0-18A0-91E7-8AEF68C0D762}">
            <x14:dataBar gradient="1">
              <x14:cfvo type="min"/>
              <x14:cfvo type="max"/>
              <x14:fillColor rgb="FF4472C4"/>
            </x14:dataBar>
          </x14:cfRule>
          <xm:sqref>F5:F11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4.130000114440918" hidden="0" customWidth="1"/>
    <x:col min="2" max="2" width="9.880000114440918" hidden="0" customWidth="1"/>
    <x:col min="3" max="3" width="27.5" hidden="0" customWidth="1"/>
    <x:col min="4" max="4" width="8.630000114440918" hidden="0" customWidth="1"/>
    <x:col min="5" max="5" width="5.75" hidden="0" customWidth="1"/>
    <x:col min="6" max="6" width="4.630000114440918" hidden="0" customWidth="1"/>
    <x:col min="7" max="7" width="8" hidden="0" customWidth="1"/>
    <x:col min="8" max="8" width="28.5" hidden="0" customWidth="1"/>
    <x:col min="9" max="9" width="4" hidden="0" customWidth="1"/>
    <x:col min="10" max="10" width="8.380000114440918" hidden="0" customWidth="1"/>
  </x:cols>
  <x:sheetData>
    <x:row r="1">
      <x:c r="A1" s="6" t="str">
        <x:v>ID</x:v>
      </x:c>
      <x:c r="B1" s="12" t="str">
        <x:v>Type</x:v>
      </x:c>
      <x:c r="C1" s="12" t="str">
        <x:v>Description</x:v>
      </x:c>
      <x:c r="D1" s="12" t="str">
        <x:v>Probability</x:v>
      </x:c>
      <x:c r="E1" s="12" t="str">
        <x:v>Impact</x:v>
      </x:c>
      <x:c r="F1" s="12" t="str">
        <x:v>Score</x:v>
      </x:c>
      <x:c r="G1" s="12" t="str">
        <x:v>Owner</x:v>
      </x:c>
      <x:c r="H1" s="12" t="str">
        <x:v>Response</x:v>
      </x:c>
      <x:c r="I1" s="12" t="str">
        <x:v>Due</x:v>
      </x:c>
      <x:c r="J1" s="12" t="str">
        <x:v>Status</x:v>
      </x:c>
    </x:row>
    <x:row r="2">
      <x:c r="A2" s="12" t="str">
        <x:v>R-01</x:v>
      </x:c>
      <x:c r="B2" s="12" t="str">
        <x:v>Risk</x:v>
      </x:c>
      <x:c r="C2" s="12" t="str">
        <x:v>Source data quality delays migration</x:v>
      </x:c>
      <x:c r="D2" s="12" t="n">
        <x:v>4</x:v>
      </x:c>
      <x:c r="E2" s="12" t="n">
        <x:v>5</x:v>
      </x:c>
      <x:c r="F2" s="12" t="n">
        <x:f>D2*E2</x:f>
        <x:v>20</x:v>
      </x:c>
      <x:c r="G2" s="12" t="str">
        <x:v>Data Lead</x:v>
      </x:c>
      <x:c r="H2" s="12" t="str">
        <x:v>Cleanse early; exception queue</x:v>
      </x:c>
      <x:c r="I2" s="12" t="str">
        <x:v>W5</x:v>
      </x:c>
      <x:c r="J2" s="12" t="str">
        <x:v>Controlled</x:v>
      </x:c>
    </x:row>
    <x:row r="3">
      <x:c r="A3" s="12" t="str">
        <x:v>R-02</x:v>
      </x:c>
      <x:c r="B3" s="12" t="str">
        <x:v>Risk</x:v>
      </x:c>
      <x:c r="C3" s="12" t="str">
        <x:v>Low user adoption</x:v>
      </x:c>
      <x:c r="D3" s="12" t="n">
        <x:v>3</x:v>
      </x:c>
      <x:c r="E3" s="12" t="n">
        <x:v>5</x:v>
      </x:c>
      <x:c r="F3" s="12" t="n">
        <x:f>D3*E3</x:f>
        <x:v>15</x:v>
      </x:c>
      <x:c r="G3" s="12" t="str">
        <x:v>Sales Ops</x:v>
      </x:c>
      <x:c r="H3" s="12" t="str">
        <x:v>Role training; manager reinforcement</x:v>
      </x:c>
      <x:c r="I3" s="12" t="str">
        <x:v>W12</x:v>
      </x:c>
      <x:c r="J3" s="12" t="str">
        <x:v>Controlled</x:v>
      </x:c>
    </x:row>
    <x:row r="4">
      <x:c r="A4" s="12" t="str">
        <x:v>R-03</x:v>
      </x:c>
      <x:c r="B4" s="12" t="str">
        <x:v>Risk</x:v>
      </x:c>
      <x:c r="C4" s="12" t="str">
        <x:v>Integration failure at cutover</x:v>
      </x:c>
      <x:c r="D4" s="12" t="n">
        <x:v>2</x:v>
      </x:c>
      <x:c r="E4" s="12" t="n">
        <x:v>5</x:v>
      </x:c>
      <x:c r="F4" s="12" t="n">
        <x:f>D4*E4</x:f>
        <x:v>10</x:v>
      </x:c>
      <x:c r="G4" s="12" t="str">
        <x:v>Tech Lead</x:v>
      </x:c>
      <x:c r="H4" s="12" t="str">
        <x:v>Regression test; rollback plan</x:v>
      </x:c>
      <x:c r="I4" s="12" t="str">
        <x:v>W10</x:v>
      </x:c>
      <x:c r="J4" s="12" t="str">
        <x:v>Controlled</x:v>
      </x:c>
    </x:row>
    <x:row r="5">
      <x:c r="A5" s="12" t="str">
        <x:v>I-01</x:v>
      </x:c>
      <x:c r="B5" s="12" t="str">
        <x:v>Issue</x:v>
      </x:c>
      <x:c r="C5" s="12" t="str">
        <x:v>Duplicate records above threshold</x:v>
      </x:c>
      <x:c r="D5" s="12" t="n">
        <x:v>4</x:v>
      </x:c>
      <x:c r="E5" s="12" t="n">
        <x:v>4</x:v>
      </x:c>
      <x:c r="F5" s="12" t="n">
        <x:f>D5*E5</x:f>
        <x:v>16</x:v>
      </x:c>
      <x:c r="G5" s="12" t="str">
        <x:v>Data Lead</x:v>
      </x:c>
      <x:c r="H5" s="12" t="str">
        <x:v>Merge rules and audit</x:v>
      </x:c>
      <x:c r="I5" s="12" t="str">
        <x:v>W9</x:v>
      </x:c>
      <x:c r="J5" s="12" t="str">
        <x:v>Closed</x:v>
      </x:c>
    </x:row>
    <x:row r="6">
      <x:c r="A6" s="12" t="str">
        <x:v>D-01</x:v>
      </x:c>
      <x:c r="B6" s="12" t="str">
        <x:v>Dependency</x:v>
      </x:c>
      <x:c r="C6" s="12" t="str">
        <x:v>Identity/access provisioning</x:v>
      </x:c>
      <x:c r="D6" s="12" t="n">
        <x:v>3</x:v>
      </x:c>
      <x:c r="E6" s="12" t="n">
        <x:v>4</x:v>
      </x:c>
      <x:c r="F6" s="12" t="n">
        <x:f>D6*E6</x:f>
        <x:v>12</x:v>
      </x:c>
      <x:c r="G6" s="12" t="str">
        <x:v>IT Admin</x:v>
      </x:c>
      <x:c r="H6" s="12" t="str">
        <x:v>Provisioning checklist</x:v>
      </x:c>
      <x:c r="I6" s="12" t="str">
        <x:v>W9</x:v>
      </x:c>
      <x:c r="J6" s="12" t="str">
        <x:v>Closed</x:v>
      </x:c>
    </x:row>
    <x:row r="7">
      <x:c r="A7" s="12" t="str">
        <x:v>A-01</x:v>
      </x:c>
      <x:c r="B7" s="12" t="str">
        <x:v>Assumption</x:v>
      </x:c>
      <x:c r="C7" s="12" t="str">
        <x:v>Business owners available for UAT</x:v>
      </x:c>
      <x:c r="D7" s="12" t="n">
        <x:v>2</x:v>
      </x:c>
      <x:c r="E7" s="12" t="n">
        <x:v>4</x:v>
      </x:c>
      <x:c r="F7" s="12" t="n">
        <x:f>D7*E7</x:f>
        <x:v>8</x:v>
      </x:c>
      <x:c r="G7" s="12" t="str">
        <x:v>PM</x:v>
      </x:c>
      <x:c r="H7" s="12" t="str">
        <x:v>Calendar lock and backup testers</x:v>
      </x:c>
      <x:c r="I7" s="12" t="str">
        <x:v>W8</x:v>
      </x:c>
      <x:c r="J7" s="12" t="str">
        <x:v>Validated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.5" hidden="0" customWidth="1"/>
    <x:col min="2" max="2" width="10.630000114440918" hidden="0" customWidth="1"/>
    <x:col min="3" max="3" width="30" hidden="0" customWidth="1"/>
    <x:col min="4" max="4" width="11.25" hidden="0" customWidth="1"/>
    <x:col min="5" max="5" width="4.130000114440918" hidden="0" customWidth="1"/>
    <x:col min="6" max="6" width="4" hidden="0" customWidth="1"/>
    <x:col min="7" max="7" width="6.880000114440918" hidden="0" customWidth="1"/>
    <x:col min="8" max="8" width="9.880000114440918" hidden="0" customWidth="1"/>
    <x:col min="9" max="9" width="8.75" hidden="0" customWidth="1"/>
    <x:col min="10" max="10" width="16.1299991607666" hidden="0" customWidth="1"/>
  </x:cols>
  <x:sheetData>
    <x:row r="1">
      <x:c r="A1" s="6" t="str">
        <x:v>ID</x:v>
      </x:c>
      <x:c r="B1" s="12" t="str">
        <x:v>Workstream</x:v>
      </x:c>
      <x:c r="C1" s="12" t="str">
        <x:v>Action</x:v>
      </x:c>
      <x:c r="D1" s="12" t="str">
        <x:v>Owner</x:v>
      </x:c>
      <x:c r="E1" s="12" t="str">
        <x:v>Start</x:v>
      </x:c>
      <x:c r="F1" s="12" t="str">
        <x:v>Due</x:v>
      </x:c>
      <x:c r="G1" s="12" t="str">
        <x:v>Priority</x:v>
      </x:c>
      <x:c r="H1" s="12" t="str">
        <x:v>Dependency</x:v>
      </x:c>
      <x:c r="I1" s="12" t="str">
        <x:v>Status</x:v>
      </x:c>
      <x:c r="J1" s="12" t="str">
        <x:v>Evidence</x:v>
      </x:c>
    </x:row>
    <x:row r="2">
      <x:c r="A2" s="12" t="str">
        <x:v>A01</x:v>
      </x:c>
      <x:c r="B2" s="12" t="str">
        <x:v>Discovery</x:v>
      </x:c>
      <x:c r="C2" s="12" t="str">
        <x:v>Confirm requirements and process map</x:v>
      </x:c>
      <x:c r="D2" s="12" t="str">
        <x:v>PM</x:v>
      </x:c>
      <x:c r="E2" s="12" t="str">
        <x:v>W1</x:v>
      </x:c>
      <x:c r="F2" s="12" t="str">
        <x:v>W2</x:v>
      </x:c>
      <x:c r="G2" s="12" t="str">
        <x:v>High</x:v>
      </x:c>
      <x:c r="H2" s="12" t="str"/>
      <x:c r="I2" s="12" t="str">
        <x:v>Complete</x:v>
      </x:c>
      <x:c r="J2" s="12" t="str">
        <x:v>Signed baseline</x:v>
      </x:c>
    </x:row>
    <x:row r="3">
      <x:c r="A3" s="12" t="str">
        <x:v>A02</x:v>
      </x:c>
      <x:c r="B3" s="12" t="str">
        <x:v>Data</x:v>
      </x:c>
      <x:c r="C3" s="12" t="str">
        <x:v>Profile and cleanse 4,800 records</x:v>
      </x:c>
      <x:c r="D3" s="12" t="str">
        <x:v>Data Lead</x:v>
      </x:c>
      <x:c r="E3" s="12" t="str">
        <x:v>W2</x:v>
      </x:c>
      <x:c r="F3" s="12" t="str">
        <x:v>W5</x:v>
      </x:c>
      <x:c r="G3" s="12" t="str">
        <x:v>High</x:v>
      </x:c>
      <x:c r="H3" s="12" t="str">
        <x:v>A01</x:v>
      </x:c>
      <x:c r="I3" s="12" t="str">
        <x:v>Complete</x:v>
      </x:c>
      <x:c r="J3" s="12" t="str">
        <x:v>Reconciliation report</x:v>
      </x:c>
    </x:row>
    <x:row r="4">
      <x:c r="A4" s="12" t="str">
        <x:v>A03</x:v>
      </x:c>
      <x:c r="B4" s="12" t="str">
        <x:v>Configuration</x:v>
      </x:c>
      <x:c r="C4" s="12" t="str">
        <x:v>Configure workflows and roles</x:v>
      </x:c>
      <x:c r="D4" s="12" t="str">
        <x:v>CRM Admin</x:v>
      </x:c>
      <x:c r="E4" s="12" t="str">
        <x:v>W3</x:v>
      </x:c>
      <x:c r="F4" s="12" t="str">
        <x:v>W6</x:v>
      </x:c>
      <x:c r="G4" s="12" t="str">
        <x:v>High</x:v>
      </x:c>
      <x:c r="H4" s="12" t="str">
        <x:v>A01</x:v>
      </x:c>
      <x:c r="I4" s="12" t="str">
        <x:v>Complete</x:v>
      </x:c>
      <x:c r="J4" s="12" t="str">
        <x:v>Config checklist</x:v>
      </x:c>
    </x:row>
    <x:row r="5">
      <x:c r="A5" s="12" t="str">
        <x:v>A04</x:v>
      </x:c>
      <x:c r="B5" s="12" t="str">
        <x:v>Testing</x:v>
      </x:c>
      <x:c r="C5" s="12" t="str">
        <x:v>Execute integration/UAT cycles</x:v>
      </x:c>
      <x:c r="D5" s="12" t="str">
        <x:v>Test Lead</x:v>
      </x:c>
      <x:c r="E5" s="12" t="str">
        <x:v>W5</x:v>
      </x:c>
      <x:c r="F5" s="12" t="str">
        <x:v>W8</x:v>
      </x:c>
      <x:c r="G5" s="12" t="str">
        <x:v>High</x:v>
      </x:c>
      <x:c r="H5" s="12" t="str">
        <x:v>A02/A03</x:v>
      </x:c>
      <x:c r="I5" s="12" t="str">
        <x:v>Complete</x:v>
      </x:c>
      <x:c r="J5" s="12" t="str">
        <x:v>UAT report</x:v>
      </x:c>
    </x:row>
    <x:row r="6">
      <x:c r="A6" s="12" t="str">
        <x:v>A05</x:v>
      </x:c>
      <x:c r="B6" s="12" t="str">
        <x:v>Training</x:v>
      </x:c>
      <x:c r="C6" s="12" t="str">
        <x:v>Deliver role-based training</x:v>
      </x:c>
      <x:c r="D6" s="12" t="str">
        <x:v>Change Lead</x:v>
      </x:c>
      <x:c r="E6" s="12" t="str">
        <x:v>W7</x:v>
      </x:c>
      <x:c r="F6" s="12" t="str">
        <x:v>W9</x:v>
      </x:c>
      <x:c r="G6" s="12" t="str">
        <x:v>High</x:v>
      </x:c>
      <x:c r="H6" s="12" t="str">
        <x:v>A04</x:v>
      </x:c>
      <x:c r="I6" s="12" t="str">
        <x:v>Complete</x:v>
      </x:c>
      <x:c r="J6" s="12" t="str">
        <x:v>Completion log</x:v>
      </x:c>
    </x:row>
    <x:row r="7">
      <x:c r="A7" s="12" t="str">
        <x:v>A06</x:v>
      </x:c>
      <x:c r="B7" s="12" t="str">
        <x:v>Cutover</x:v>
      </x:c>
      <x:c r="C7" s="12" t="str">
        <x:v>Execute migration and go/no-go</x:v>
      </x:c>
      <x:c r="D7" s="12" t="str">
        <x:v>PM</x:v>
      </x:c>
      <x:c r="E7" s="12" t="str">
        <x:v>W9</x:v>
      </x:c>
      <x:c r="F7" s="12" t="str">
        <x:v>W10</x:v>
      </x:c>
      <x:c r="G7" s="12" t="str">
        <x:v>Critical</x:v>
      </x:c>
      <x:c r="H7" s="12" t="str">
        <x:v>A02-A05</x:v>
      </x:c>
      <x:c r="I7" s="12" t="str">
        <x:v>Complete</x:v>
      </x:c>
      <x:c r="J7" s="12" t="str">
        <x:v>Go-live approval</x:v>
      </x:c>
    </x:row>
    <x:row r="8">
      <x:c r="A8" s="12" t="str">
        <x:v>A07</x:v>
      </x:c>
      <x:c r="B8" s="12" t="str">
        <x:v>Hypercare</x:v>
      </x:c>
      <x:c r="C8" s="12" t="str">
        <x:v>Run daily support triage</x:v>
      </x:c>
      <x:c r="D8" s="12" t="str">
        <x:v>CRM Admin</x:v>
      </x:c>
      <x:c r="E8" s="12" t="str">
        <x:v>W10</x:v>
      </x:c>
      <x:c r="F8" s="12" t="str">
        <x:v>W12</x:v>
      </x:c>
      <x:c r="G8" s="12" t="str">
        <x:v>High</x:v>
      </x:c>
      <x:c r="H8" s="12" t="str">
        <x:v>A06</x:v>
      </x:c>
      <x:c r="I8" s="12" t="str">
        <x:v>In Progress</x:v>
      </x:c>
      <x:c r="J8" s="12" t="str">
        <x:v>Ticket dashboard</x:v>
      </x:c>
    </x:row>
    <x:row r="9">
      <x:c r="A9" s="12" t="str">
        <x:v>A08</x:v>
      </x:c>
      <x:c r="B9" s="12" t="str">
        <x:v>Handoff</x:v>
      </x:c>
      <x:c r="C9" s="12" t="str">
        <x:v>Transfer governance/backlog</x:v>
      </x:c>
      <x:c r="D9" s="12" t="str">
        <x:v>System Owner</x:v>
      </x:c>
      <x:c r="E9" s="12" t="str">
        <x:v>W12</x:v>
      </x:c>
      <x:c r="F9" s="12" t="str">
        <x:v>W13</x:v>
      </x:c>
      <x:c r="G9" s="12" t="str">
        <x:v>Medium</x:v>
      </x:c>
      <x:c r="H9" s="12" t="str">
        <x:v>A07</x:v>
      </x:c>
      <x:c r="I9" s="12" t="str">
        <x:v>Planned</x:v>
      </x:c>
      <x:c r="J9" s="12" t="str">
        <x:v>Handoff sign-off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5.75" hidden="0" customWidth="1"/>
    <x:col min="2" max="2" width="9.75" hidden="0" customWidth="1"/>
    <x:col min="3" max="3" width="23.75" hidden="0" customWidth="1"/>
    <x:col min="4" max="4" width="12.75" hidden="0" customWidth="1"/>
    <x:col min="5" max="5" width="11" hidden="0" customWidth="1"/>
    <x:col min="6" max="6" width="5.130000114440918" hidden="0" customWidth="1"/>
    <x:col min="7" max="7" width="7.380000114440918" hidden="0" customWidth="1"/>
    <x:col min="8" max="8" width="5.25" hidden="0" customWidth="1"/>
    <x:col min="9" max="9" width="8.880000114440918" hidden="0" customWidth="1"/>
  </x:cols>
  <x:sheetData>
    <x:row r="1">
      <x:c r="A1" s="6" t="str">
        <x:v>Test ID</x:v>
      </x:c>
      <x:c r="B1" s="12" t="str">
        <x:v>Area</x:v>
      </x:c>
      <x:c r="C1" s="12" t="str">
        <x:v>Scenario</x:v>
      </x:c>
      <x:c r="D1" s="12" t="str">
        <x:v>Severity if Failed</x:v>
      </x:c>
      <x:c r="E1" s="12" t="str">
        <x:v>Owner</x:v>
      </x:c>
      <x:c r="F1" s="12" t="str">
        <x:v>Result</x:v>
      </x:c>
      <x:c r="G1" s="12" t="str">
        <x:v>Defect ID</x:v>
      </x:c>
      <x:c r="H1" s="12" t="str">
        <x:v>Retest</x:v>
      </x:c>
      <x:c r="I1" s="12" t="str">
        <x:v>Disposition</x:v>
      </x:c>
    </x:row>
    <x:row r="2">
      <x:c r="A2" s="12" t="str">
        <x:v>UAT-01</x:v>
      </x:c>
      <x:c r="B2" s="12" t="str">
        <x:v>Lead</x:v>
      </x:c>
      <x:c r="C2" s="12" t="str">
        <x:v>Create and assign lead</x:v>
      </x:c>
      <x:c r="D2" s="12" t="str">
        <x:v>Sev-2</x:v>
      </x:c>
      <x:c r="E2" s="12" t="str">
        <x:v>Sales SME</x:v>
      </x:c>
      <x:c r="F2" s="12" t="str">
        <x:v>Pass</x:v>
      </x:c>
      <x:c r="G2" s="12" t="str"/>
      <x:c r="H2" s="12" t="str"/>
      <x:c r="I2" s="12" t="str">
        <x:v>Accepted</x:v>
      </x:c>
    </x:row>
    <x:row r="3">
      <x:c r="A3" s="12" t="str">
        <x:v>UAT-02</x:v>
      </x:c>
      <x:c r="B3" s="12" t="str">
        <x:v>Opportunity</x:v>
      </x:c>
      <x:c r="C3" s="12" t="str">
        <x:v>Advance stage with exit criteria</x:v>
      </x:c>
      <x:c r="D3" s="12" t="str">
        <x:v>Sev-2</x:v>
      </x:c>
      <x:c r="E3" s="12" t="str">
        <x:v>Sales SME</x:v>
      </x:c>
      <x:c r="F3" s="12" t="str">
        <x:v>Pass</x:v>
      </x:c>
      <x:c r="G3" s="12" t="str"/>
      <x:c r="H3" s="12" t="str"/>
      <x:c r="I3" s="12" t="str">
        <x:v>Accepted</x:v>
      </x:c>
    </x:row>
    <x:row r="4">
      <x:c r="A4" s="12" t="str">
        <x:v>UAT-03</x:v>
      </x:c>
      <x:c r="B4" s="12" t="str">
        <x:v>Data</x:v>
      </x:c>
      <x:c r="C4" s="12" t="str">
        <x:v>Duplicate detection</x:v>
      </x:c>
      <x:c r="D4" s="12" t="str">
        <x:v>Sev-2</x:v>
      </x:c>
      <x:c r="E4" s="12" t="str">
        <x:v>Data SME</x:v>
      </x:c>
      <x:c r="F4" s="12" t="str">
        <x:v>Pass</x:v>
      </x:c>
      <x:c r="G4" s="12" t="str">
        <x:v>DEF-12</x:v>
      </x:c>
      <x:c r="H4" s="12" t="str">
        <x:v>Pass</x:v>
      </x:c>
      <x:c r="I4" s="12" t="str">
        <x:v>Closed</x:v>
      </x:c>
    </x:row>
    <x:row r="5">
      <x:c r="A5" s="12" t="str">
        <x:v>UAT-04</x:v>
      </x:c>
      <x:c r="B5" s="12" t="str">
        <x:v>Reporting</x:v>
      </x:c>
      <x:c r="C5" s="12" t="str">
        <x:v>Manager pipeline dashboard</x:v>
      </x:c>
      <x:c r="D5" s="12" t="str">
        <x:v>Sev-2</x:v>
      </x:c>
      <x:c r="E5" s="12" t="str">
        <x:v>Manager SME</x:v>
      </x:c>
      <x:c r="F5" s="12" t="str">
        <x:v>Pass</x:v>
      </x:c>
      <x:c r="G5" s="12" t="str"/>
      <x:c r="H5" s="12" t="str"/>
      <x:c r="I5" s="12" t="str">
        <x:v>Accepted</x:v>
      </x:c>
    </x:row>
    <x:row r="6">
      <x:c r="A6" s="12" t="str">
        <x:v>UAT-05</x:v>
      </x:c>
      <x:c r="B6" s="12" t="str">
        <x:v>Access</x:v>
      </x:c>
      <x:c r="C6" s="12" t="str">
        <x:v>Role-based permissions</x:v>
      </x:c>
      <x:c r="D6" s="12" t="str">
        <x:v>Sev-1</x:v>
      </x:c>
      <x:c r="E6" s="12" t="str">
        <x:v>IT SME</x:v>
      </x:c>
      <x:c r="F6" s="12" t="str">
        <x:v>Pass</x:v>
      </x:c>
      <x:c r="G6" s="12" t="str">
        <x:v>DEF-15</x:v>
      </x:c>
      <x:c r="H6" s="12" t="str">
        <x:v>Pass</x:v>
      </x:c>
      <x:c r="I6" s="12" t="str">
        <x:v>Closed</x:v>
      </x:c>
    </x:row>
    <x:row r="7">
      <x:c r="A7" s="12" t="str">
        <x:v>UAT-06</x:v>
      </x:c>
      <x:c r="B7" s="12" t="str">
        <x:v>Integration</x:v>
      </x:c>
      <x:c r="C7" s="12" t="str">
        <x:v>Activity synchronization</x:v>
      </x:c>
      <x:c r="D7" s="12" t="str">
        <x:v>Sev-1</x:v>
      </x:c>
      <x:c r="E7" s="12" t="str">
        <x:v>Tech SME</x:v>
      </x:c>
      <x:c r="F7" s="12" t="str">
        <x:v>Pass</x:v>
      </x:c>
      <x:c r="G7" s="12" t="str"/>
      <x:c r="H7" s="12" t="str"/>
      <x:c r="I7" s="12" t="str">
        <x:v>Accepted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.880000114440918" hidden="0" customWidth="1"/>
    <x:col min="2" max="2" width="6.630000114440918" hidden="0" customWidth="1"/>
    <x:col min="3" max="3" width="3.380000114440918" hidden="0" customWidth="1"/>
    <x:col min="4" max="4" width="7.630000114440918" hidden="0" customWidth="1"/>
    <x:col min="5" max="5" width="9.380000114440918" hidden="0" customWidth="1"/>
    <x:col min="6" max="6" width="8" hidden="0" customWidth="1"/>
    <x:col min="7" max="7" width="7.5" hidden="0" customWidth="1"/>
    <x:col min="8" max="8" width="10" hidden="0" customWidth="1"/>
  </x:cols>
  <x:sheetData>
    <x:row r="1">
      <x:c r="A1" s="6" t="str">
        <x:v>Deliverable</x:v>
      </x:c>
      <x:c r="B1" s="12" t="str">
        <x:v>Sponsor</x:v>
      </x:c>
      <x:c r="C1" s="12" t="str">
        <x:v>PM</x:v>
      </x:c>
      <x:c r="D1" s="12" t="str">
        <x:v>Sales Ops</x:v>
      </x:c>
      <x:c r="E1" s="12" t="str">
        <x:v>CRM Admin</x:v>
      </x:c>
      <x:c r="F1" s="12" t="str">
        <x:v>Data Lead</x:v>
      </x:c>
      <x:c r="G1" s="12" t="str">
        <x:v>Test Lead</x:v>
      </x:c>
      <x:c r="H1" s="12" t="str">
        <x:v>Change Lead</x:v>
      </x:c>
    </x:row>
    <x:row r="2">
      <x:c r="A2" s="12" t="str">
        <x:v>Requirements</x:v>
      </x:c>
      <x:c r="B2" s="12" t="str">
        <x:v>I</x:v>
      </x:c>
      <x:c r="C2" s="12" t="str">
        <x:v>A/R</x:v>
      </x:c>
      <x:c r="D2" s="12" t="str">
        <x:v>R</x:v>
      </x:c>
      <x:c r="E2" s="12" t="str">
        <x:v>C</x:v>
      </x:c>
      <x:c r="F2" s="12" t="str">
        <x:v>C</x:v>
      </x:c>
      <x:c r="G2" s="12" t="str">
        <x:v>C</x:v>
      </x:c>
      <x:c r="H2" s="12" t="str">
        <x:v>C</x:v>
      </x:c>
    </x:row>
    <x:row r="3">
      <x:c r="A3" s="12" t="str">
        <x:v>Data Migration</x:v>
      </x:c>
      <x:c r="B3" s="12" t="str">
        <x:v>I</x:v>
      </x:c>
      <x:c r="C3" s="12" t="str">
        <x:v>A</x:v>
      </x:c>
      <x:c r="D3" s="12" t="str">
        <x:v>C</x:v>
      </x:c>
      <x:c r="E3" s="12" t="str">
        <x:v>R</x:v>
      </x:c>
      <x:c r="F3" s="12" t="str">
        <x:v>R</x:v>
      </x:c>
      <x:c r="G3" s="12" t="str">
        <x:v>C</x:v>
      </x:c>
      <x:c r="H3" s="12" t="str">
        <x:v>I</x:v>
      </x:c>
    </x:row>
    <x:row r="4">
      <x:c r="A4" s="12" t="str">
        <x:v>Configuration</x:v>
      </x:c>
      <x:c r="B4" s="12" t="str">
        <x:v>I</x:v>
      </x:c>
      <x:c r="C4" s="12" t="str">
        <x:v>A</x:v>
      </x:c>
      <x:c r="D4" s="12" t="str">
        <x:v>C</x:v>
      </x:c>
      <x:c r="E4" s="12" t="str">
        <x:v>R</x:v>
      </x:c>
      <x:c r="F4" s="12" t="str">
        <x:v>C</x:v>
      </x:c>
      <x:c r="G4" s="12" t="str">
        <x:v>C</x:v>
      </x:c>
      <x:c r="H4" s="12" t="str">
        <x:v>I</x:v>
      </x:c>
    </x:row>
    <x:row r="5">
      <x:c r="A5" s="12" t="str">
        <x:v>UAT</x:v>
      </x:c>
      <x:c r="B5" s="12" t="str">
        <x:v>I</x:v>
      </x:c>
      <x:c r="C5" s="12" t="str">
        <x:v>A</x:v>
      </x:c>
      <x:c r="D5" s="12" t="str">
        <x:v>R</x:v>
      </x:c>
      <x:c r="E5" s="12" t="str">
        <x:v>C</x:v>
      </x:c>
      <x:c r="F5" s="12" t="str">
        <x:v>C</x:v>
      </x:c>
      <x:c r="G5" s="12" t="str">
        <x:v>R</x:v>
      </x:c>
      <x:c r="H5" s="12" t="str">
        <x:v>C</x:v>
      </x:c>
    </x:row>
    <x:row r="6">
      <x:c r="A6" s="12" t="str">
        <x:v>Training</x:v>
      </x:c>
      <x:c r="B6" s="12" t="str">
        <x:v>I</x:v>
      </x:c>
      <x:c r="C6" s="12" t="str">
        <x:v>A</x:v>
      </x:c>
      <x:c r="D6" s="12" t="str">
        <x:v>R</x:v>
      </x:c>
      <x:c r="E6" s="12" t="str">
        <x:v>C</x:v>
      </x:c>
      <x:c r="F6" s="12" t="str">
        <x:v>I</x:v>
      </x:c>
      <x:c r="G6" s="12" t="str">
        <x:v>I</x:v>
      </x:c>
      <x:c r="H6" s="12" t="str">
        <x:v>R</x:v>
      </x:c>
    </x:row>
    <x:row r="7">
      <x:c r="A7" s="12" t="str">
        <x:v>Go/No-Go</x:v>
      </x:c>
      <x:c r="B7" s="12" t="str">
        <x:v>A</x:v>
      </x:c>
      <x:c r="C7" s="12" t="str">
        <x:v>R</x:v>
      </x:c>
      <x:c r="D7" s="12" t="str">
        <x:v>C</x:v>
      </x:c>
      <x:c r="E7" s="12" t="str">
        <x:v>C</x:v>
      </x:c>
      <x:c r="F7" s="12" t="str">
        <x:v>C</x:v>
      </x:c>
      <x:c r="G7" s="12" t="str">
        <x:v>C</x:v>
      </x:c>
      <x:c r="H7" s="12" t="str">
        <x:v>C</x:v>
      </x:c>
    </x:row>
    <x:row r="8">
      <x:c r="A8" s="12" t="str">
        <x:v>Hypercare/Handoff</x:v>
      </x:c>
      <x:c r="B8" s="12" t="str">
        <x:v>I</x:v>
      </x:c>
      <x:c r="C8" s="12" t="str">
        <x:v>A</x:v>
      </x:c>
      <x:c r="D8" s="12" t="str">
        <x:v>R</x:v>
      </x:c>
      <x:c r="E8" s="12" t="str">
        <x:v>R</x:v>
      </x:c>
      <x:c r="F8" s="12" t="str">
        <x:v>C</x:v>
      </x:c>
      <x:c r="G8" s="12" t="str">
        <x:v>C</x:v>
      </x:c>
      <x:c r="H8" s="12" t="str">
        <x:v>R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4" hidden="0" customWidth="1"/>
    <x:col min="2" max="2" width="17.1299991607666" hidden="0" customWidth="1"/>
    <x:col min="3" max="3" width="10.5" hidden="0" customWidth="1"/>
    <x:col min="4" max="4" width="13.25" hidden="0" customWidth="1"/>
    <x:col min="5" max="5" width="10.880000114440918" hidden="0" customWidth="1"/>
    <x:col min="6" max="6" width="11" hidden="0" customWidth="1"/>
    <x:col min="7" max="7" width="8.75" hidden="0" customWidth="1"/>
    <x:col min="8" max="8" width="17.1299991607666" hidden="0" customWidth="1"/>
  </x:cols>
  <x:sheetData>
    <x:row r="1">
      <x:c r="A1" s="6" t="str">
        <x:v>Step</x:v>
      </x:c>
      <x:c r="B1" s="12" t="str">
        <x:v>Activity</x:v>
      </x:c>
      <x:c r="C1" s="12" t="str">
        <x:v>Owner</x:v>
      </x:c>
      <x:c r="D1" s="12" t="str">
        <x:v>Planned Window</x:v>
      </x:c>
      <x:c r="E1" s="12" t="str">
        <x:v>Dependency</x:v>
      </x:c>
      <x:c r="F1" s="12" t="str">
        <x:v>Evidence</x:v>
      </x:c>
      <x:c r="G1" s="12" t="str">
        <x:v>Status</x:v>
      </x:c>
      <x:c r="H1" s="12" t="str">
        <x:v>Rollback Trigger</x:v>
      </x:c>
    </x:row>
    <x:row r="2">
      <x:c r="A2" s="12" t="n">
        <x:v>1</x:v>
      </x:c>
      <x:c r="B2" s="12" t="str">
        <x:v>Freeze source extracts</x:v>
      </x:c>
      <x:c r="C2" s="12" t="str">
        <x:v>Data Lead</x:v>
      </x:c>
      <x:c r="D2" s="12" t="str">
        <x:v>W10 D-1</x:v>
      </x:c>
      <x:c r="E2" s="12" t="str">
        <x:v>Data approval</x:v>
      </x:c>
      <x:c r="F2" s="12" t="str">
        <x:v>Frozen files</x:v>
      </x:c>
      <x:c r="G2" s="12" t="str">
        <x:v>Complete</x:v>
      </x:c>
      <x:c r="H2" s="12" t="str">
        <x:v>Unauthorized changes</x:v>
      </x:c>
    </x:row>
    <x:row r="3">
      <x:c r="A3" s="12" t="n">
        <x:v>2</x:v>
      </x:c>
      <x:c r="B3" s="12" t="str">
        <x:v>Final production load</x:v>
      </x:c>
      <x:c r="C3" s="12" t="str">
        <x:v>CRM Admin</x:v>
      </x:c>
      <x:c r="D3" s="12" t="str">
        <x:v>W10 D0</x:v>
      </x:c>
      <x:c r="E3" s="12" t="str">
        <x:v>Step 1</x:v>
      </x:c>
      <x:c r="F3" s="12" t="str">
        <x:v>Load log</x:v>
      </x:c>
      <x:c r="G3" s="12" t="str">
        <x:v>Complete</x:v>
      </x:c>
      <x:c r="H3" s="12" t="str">
        <x:v>Load failure</x:v>
      </x:c>
    </x:row>
    <x:row r="4">
      <x:c r="A4" s="12" t="n">
        <x:v>3</x:v>
      </x:c>
      <x:c r="B4" s="12" t="str">
        <x:v>Reconcile records</x:v>
      </x:c>
      <x:c r="C4" s="12" t="str">
        <x:v>Data Lead</x:v>
      </x:c>
      <x:c r="D4" s="12" t="str">
        <x:v>W10 D0</x:v>
      </x:c>
      <x:c r="E4" s="12" t="str">
        <x:v>Step 2</x:v>
      </x:c>
      <x:c r="F4" s="12" t="str">
        <x:v>Reconciliation</x:v>
      </x:c>
      <x:c r="G4" s="12" t="str">
        <x:v>Complete</x:v>
      </x:c>
      <x:c r="H4" s="12" t="str">
        <x:v>Accuracy &lt;98%</x:v>
      </x:c>
    </x:row>
    <x:row r="5">
      <x:c r="A5" s="12" t="n">
        <x:v>4</x:v>
      </x:c>
      <x:c r="B5" s="12" t="str">
        <x:v>Smoke test</x:v>
      </x:c>
      <x:c r="C5" s="12" t="str">
        <x:v>Test Lead</x:v>
      </x:c>
      <x:c r="D5" s="12" t="str">
        <x:v>W10 D0</x:v>
      </x:c>
      <x:c r="E5" s="12" t="str">
        <x:v>Step 3</x:v>
      </x:c>
      <x:c r="F5" s="12" t="str">
        <x:v>Test results</x:v>
      </x:c>
      <x:c r="G5" s="12" t="str">
        <x:v>Complete</x:v>
      </x:c>
      <x:c r="H5" s="12" t="str">
        <x:v>Critical workflow fails</x:v>
      </x:c>
    </x:row>
    <x:row r="6">
      <x:c r="A6" s="12" t="n">
        <x:v>5</x:v>
      </x:c>
      <x:c r="B6" s="12" t="str">
        <x:v>Business validation</x:v>
      </x:c>
      <x:c r="C6" s="12" t="str">
        <x:v>Sales Ops</x:v>
      </x:c>
      <x:c r="D6" s="12" t="str">
        <x:v>W10 D0</x:v>
      </x:c>
      <x:c r="E6" s="12" t="str">
        <x:v>Step 4</x:v>
      </x:c>
      <x:c r="F6" s="12" t="str">
        <x:v>Approval</x:v>
      </x:c>
      <x:c r="G6" s="12" t="str">
        <x:v>Complete</x:v>
      </x:c>
      <x:c r="H6" s="12" t="str">
        <x:v>Business blocker</x:v>
      </x:c>
    </x:row>
    <x:row r="7">
      <x:c r="A7" s="12" t="n">
        <x:v>6</x:v>
      </x:c>
      <x:c r="B7" s="12" t="str">
        <x:v>Go/no-go</x:v>
      </x:c>
      <x:c r="C7" s="12" t="str">
        <x:v>Sponsor/PM</x:v>
      </x:c>
      <x:c r="D7" s="12" t="str">
        <x:v>W10 D0</x:v>
      </x:c>
      <x:c r="E7" s="12" t="str">
        <x:v>Steps 1-5</x:v>
      </x:c>
      <x:c r="F7" s="12" t="str">
        <x:v>Decision log</x:v>
      </x:c>
      <x:c r="G7" s="12" t="str">
        <x:v>Complete</x:v>
      </x:c>
      <x:c r="H7" s="12" t="str">
        <x:v>Any gate fails</x:v>
      </x:c>
    </x:row>
    <x:row r="8">
      <x:c r="A8" s="12" t="n">
        <x:v>7</x:v>
      </x:c>
      <x:c r="B8" s="12" t="str">
        <x:v>Open production</x:v>
      </x:c>
      <x:c r="C8" s="12" t="str">
        <x:v>CRM Admin</x:v>
      </x:c>
      <x:c r="D8" s="12" t="str">
        <x:v>W10 D0</x:v>
      </x:c>
      <x:c r="E8" s="12" t="str">
        <x:v>Step 6</x:v>
      </x:c>
      <x:c r="F8" s="12" t="str">
        <x:v>Launch notice</x:v>
      </x:c>
      <x:c r="G8" s="12" t="str">
        <x:v>Complete</x:v>
      </x:c>
      <x:c r="H8" s="12" t="str">
        <x:v>Critical outage</x:v>
      </x:c>
    </x:row>
    <x:row r="9">
      <x:c r="A9" s="12" t="n">
        <x:v>8</x:v>
      </x:c>
      <x:c r="B9" s="12" t="str">
        <x:v>Start hypercare</x:v>
      </x:c>
      <x:c r="C9" s="12" t="str">
        <x:v>Support Lead</x:v>
      </x:c>
      <x:c r="D9" s="12" t="str">
        <x:v>W10 D+1</x:v>
      </x:c>
      <x:c r="E9" s="12" t="str">
        <x:v>Step 7</x:v>
      </x:c>
      <x:c r="F9" s="12" t="str">
        <x:v>Triage log</x:v>
      </x:c>
      <x:c r="G9" s="12" t="str">
        <x:v>In Progress</x:v>
      </x:c>
      <x:c r="H9" s="12" t="str">
        <x:v>N/A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30.8799991607666" hidden="0" customWidth="1"/>
    <x:col min="3" max="3" width="12.380000114440918" hidden="0" customWidth="1"/>
    <x:col min="4" max="4" width="10.630000114440918" hidden="0" customWidth="1"/>
    <x:col min="5" max="5" width="12.880000114440918" hidden="0" customWidth="1"/>
    <x:col min="6" max="6" width="6.880000114440918" hidden="0" customWidth="1"/>
    <x:col min="7" max="7" width="13.75" hidden="0" customWidth="1"/>
    <x:col min="8" max="8" width="7.5" hidden="0" customWidth="1"/>
    <x:col min="9" max="9" width="7.75" hidden="0" customWidth="1"/>
    <x:col min="10" max="10" width="17.6299991607666" hidden="0" customWidth="1"/>
  </x:cols>
  <x:sheetData>
    <x:row r="1">
      <x:c r="A1" s="6" t="str">
        <x:v>CR ID</x:v>
      </x:c>
      <x:c r="B1" s="12" t="str">
        <x:v>Request</x:v>
      </x:c>
      <x:c r="C1" s="12" t="str">
        <x:v>Requester</x:v>
      </x:c>
      <x:c r="D1" s="12" t="str">
        <x:v>Scope Impact</x:v>
      </x:c>
      <x:c r="E1" s="12" t="str">
        <x:v>Schedule Impact</x:v>
      </x:c>
      <x:c r="F1" s="12" t="str">
        <x:v>Risk</x:v>
      </x:c>
      <x:c r="G1" s="12" t="str">
        <x:v>Recommendation</x:v>
      </x:c>
      <x:c r="H1" s="12" t="str">
        <x:v>Approver</x:v>
      </x:c>
      <x:c r="I1" s="12" t="str">
        <x:v>Decision</x:v>
      </x:c>
      <x:c r="J1" s="12" t="str">
        <x:v>Rationale</x:v>
      </x:c>
    </x:row>
    <x:row r="2">
      <x:c r="A2" s="12" t="str">
        <x:v>CR-01</x:v>
      </x:c>
      <x:c r="B2" s="12" t="str">
        <x:v>Add custom forecast field</x:v>
      </x:c>
      <x:c r="C2" s="12" t="str">
        <x:v>Sales Ops</x:v>
      </x:c>
      <x:c r="D2" s="12" t="str">
        <x:v>Low</x:v>
      </x:c>
      <x:c r="E2" s="12" t="str">
        <x:v>Low</x:v>
      </x:c>
      <x:c r="F2" s="12" t="str">
        <x:v>Low</x:v>
      </x:c>
      <x:c r="G2" s="12" t="str">
        <x:v>Approve</x:v>
      </x:c>
      <x:c r="H2" s="12" t="str">
        <x:v>Sponsor</x:v>
      </x:c>
      <x:c r="I2" s="12" t="str">
        <x:v>Approved</x:v>
      </x:c>
      <x:c r="J2" s="12" t="str">
        <x:v>Supports reporting</x:v>
      </x:c>
    </x:row>
    <x:row r="3">
      <x:c r="A3" s="12" t="str">
        <x:v>CR-02</x:v>
      </x:c>
      <x:c r="B3" s="12" t="str">
        <x:v>Add advanced automation before launch</x:v>
      </x:c>
      <x:c r="C3" s="12" t="str">
        <x:v>Sales Manager</x:v>
      </x:c>
      <x:c r="D3" s="12" t="str">
        <x:v>High</x:v>
      </x:c>
      <x:c r="E3" s="12" t="str">
        <x:v>High</x:v>
      </x:c>
      <x:c r="F3" s="12" t="str">
        <x:v>High</x:v>
      </x:c>
      <x:c r="G3" s="12" t="str">
        <x:v>Defer</x:v>
      </x:c>
      <x:c r="H3" s="12" t="str">
        <x:v>Sponsor</x:v>
      </x:c>
      <x:c r="I3" s="12" t="str">
        <x:v>Deferred</x:v>
      </x:c>
      <x:c r="J3" s="12" t="str">
        <x:v>Protect critical path</x:v>
      </x:c>
    </x:row>
    <x:row r="4">
      <x:c r="A4" s="12" t="str">
        <x:v>CR-03</x:v>
      </x:c>
      <x:c r="B4" s="12" t="str">
        <x:v>Expand historical migration</x:v>
      </x:c>
      <x:c r="C4" s="12" t="str">
        <x:v>Business Owner</x:v>
      </x:c>
      <x:c r="D4" s="12" t="str">
        <x:v>High</x:v>
      </x:c>
      <x:c r="E4" s="12" t="str">
        <x:v>Medium</x:v>
      </x:c>
      <x:c r="F4" s="12" t="str">
        <x:v>Medium</x:v>
      </x:c>
      <x:c r="G4" s="12" t="str">
        <x:v>Defer</x:v>
      </x:c>
      <x:c r="H4" s="12" t="str">
        <x:v>Sponsor</x:v>
      </x:c>
      <x:c r="I4" s="12" t="str">
        <x:v>Deferred</x:v>
      </x:c>
      <x:c r="J4" s="12" t="str">
        <x:v>Low near-term value</x:v>
      </x:c>
    </x:row>
    <x:row r="5">
      <x:c r="A5" s="12" t="str">
        <x:v>CR-04</x:v>
      </x:c>
      <x:c r="B5" s="12" t="str">
        <x:v>Add duplicate alert</x:v>
      </x:c>
      <x:c r="C5" s="12" t="str">
        <x:v>Data Lead</x:v>
      </x:c>
      <x:c r="D5" s="12" t="str">
        <x:v>Low</x:v>
      </x:c>
      <x:c r="E5" s="12" t="str">
        <x:v>Low</x:v>
      </x:c>
      <x:c r="F5" s="12" t="str">
        <x:v>Low</x:v>
      </x:c>
      <x:c r="G5" s="12" t="str">
        <x:v>Approve</x:v>
      </x:c>
      <x:c r="H5" s="12" t="str">
        <x:v>PM</x:v>
      </x:c>
      <x:c r="I5" s="12" t="str">
        <x:v>Approved</x:v>
      </x:c>
      <x:c r="J5" s="12" t="str">
        <x:v>Supports quality target</x:v>
      </x:c>
    </x:row>
  </x:sheetData>
  <x:pageMargins left="0.7" right="0.7" top="0.75" bottom="0.75" header="0.3" footer="0.3"/>
</x:worksheet>
</file>