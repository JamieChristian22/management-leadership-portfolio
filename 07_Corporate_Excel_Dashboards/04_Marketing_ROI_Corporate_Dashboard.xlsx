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miechristian/Downloads/07_Corporate_Excel_Dashboards/"/>
    </mc:Choice>
  </mc:AlternateContent>
  <xr:revisionPtr revIDLastSave="0" documentId="13_ncr:1_{EA00FA0D-AF4E-CE43-ABC6-3FEDEAE0084D}" xr6:coauthVersionLast="47" xr6:coauthVersionMax="47" xr10:uidLastSave="{00000000-0000-0000-0000-000000000000}"/>
  <bookViews>
    <workbookView xWindow="0" yWindow="600" windowWidth="28800" windowHeight="16220" activeTab="2" xr2:uid="{00000000-000D-0000-FFFF-FFFF00000000}"/>
  </bookViews>
  <sheets>
    <sheet name="Executive Dashboard" sheetId="1" r:id="rId1"/>
    <sheet name="KPI Data" sheetId="2" r:id="rId2"/>
    <sheet name="Management A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F7" i="2"/>
  <c r="H6" i="2"/>
  <c r="G6" i="2"/>
  <c r="F6" i="2"/>
  <c r="H5" i="2"/>
  <c r="A11" i="1" s="1"/>
  <c r="G5" i="2"/>
  <c r="F5" i="2"/>
  <c r="H4" i="2"/>
  <c r="G4" i="2"/>
  <c r="F4" i="2"/>
  <c r="H3" i="2"/>
  <c r="F5" i="1" s="1"/>
  <c r="G3" i="2"/>
  <c r="F3" i="2"/>
  <c r="H2" i="2"/>
  <c r="G2" i="2"/>
  <c r="F2" i="2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K11" i="1"/>
  <c r="F11" i="1"/>
  <c r="K5" i="1"/>
  <c r="A5" i="1"/>
</calcChain>
</file>

<file path=xl/sharedStrings.xml><?xml version="1.0" encoding="utf-8"?>
<sst xmlns="http://schemas.openxmlformats.org/spreadsheetml/2006/main" count="61" uniqueCount="53">
  <si>
    <t>MARKETING MANAGEMENT | EXECUTIVE PERFORMANCE DASHBOARD</t>
  </si>
  <si>
    <t>Digital Campaign ROI Optimization  |  Corporate operating review  |  Simulated/modelled portfolio data</t>
  </si>
  <si>
    <t>EXECUTIVE READOUT</t>
  </si>
  <si>
    <t>LEADERSHIP PRIORITIES</t>
  </si>
  <si>
    <t>WHAT HAPPENED
Modeled current performance is at or above the primary target set.
WHY
The project applies structured KPI governance, root-cause management, corrective action, and cross-functional accountability.
NEXT
Protect gains, investigate exceptions, validate data quality, and transition stable controls into business-as-usual governance.</t>
  </si>
  <si>
    <t>KPI</t>
  </si>
  <si>
    <t>Baseline</t>
  </si>
  <si>
    <t>Target</t>
  </si>
  <si>
    <t>Current</t>
  </si>
  <si>
    <t>Direction</t>
  </si>
  <si>
    <t>Variance</t>
  </si>
  <si>
    <t>Attainment</t>
  </si>
  <si>
    <t>Health</t>
  </si>
  <si>
    <t>Marketing ROI %</t>
  </si>
  <si>
    <t>higher</t>
  </si>
  <si>
    <t>ROAS</t>
  </si>
  <si>
    <t>CPQL</t>
  </si>
  <si>
    <t>lower</t>
  </si>
  <si>
    <t>Qualified Lead Rate %</t>
  </si>
  <si>
    <t>Lead-to-Customer %</t>
  </si>
  <si>
    <t>Wasted Spend %</t>
  </si>
  <si>
    <t>Priority</t>
  </si>
  <si>
    <t>Management Action</t>
  </si>
  <si>
    <t>Owner</t>
  </si>
  <si>
    <t>Due</t>
  </si>
  <si>
    <t>Status</t>
  </si>
  <si>
    <t>Decision / Evidence</t>
  </si>
  <si>
    <t>1</t>
  </si>
  <si>
    <t>Protect target performance</t>
  </si>
  <si>
    <t>Functional Lead</t>
  </si>
  <si>
    <t>Next Review</t>
  </si>
  <si>
    <t>In Progress</t>
  </si>
  <si>
    <t>Monitor KPI exceptions and root causes</t>
  </si>
  <si>
    <t>2</t>
  </si>
  <si>
    <t>Close remaining red/amber items</t>
  </si>
  <si>
    <t>Workstream Owner</t>
  </si>
  <si>
    <t>Document corrective actions</t>
  </si>
  <si>
    <t>3</t>
  </si>
  <si>
    <t>Validate data quality</t>
  </si>
  <si>
    <t>Analytics / Ops</t>
  </si>
  <si>
    <t>Monthly</t>
  </si>
  <si>
    <t>Reconcile source and dashboard</t>
  </si>
  <si>
    <t>4</t>
  </si>
  <si>
    <t>Sustain operating controls</t>
  </si>
  <si>
    <t>Operations</t>
  </si>
  <si>
    <t>30 Days</t>
  </si>
  <si>
    <t>Planned</t>
  </si>
  <si>
    <t>Audit control adherence</t>
  </si>
  <si>
    <t>5</t>
  </si>
  <si>
    <t>Transition stable controls to BAU</t>
  </si>
  <si>
    <t>Leadership</t>
  </si>
  <si>
    <t>90 Days</t>
  </si>
  <si>
    <t>Approve governance cadence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</si>
</sst>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\x"/>
    <numFmt numFmtId="166" formatCode="\$0"/>
  </numFmts>
  <fonts count="5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b/>
      <sz val="11"/>
      <color rgb="FF17365D"/>
      <name val="Carlito"/>
    </font>
    <font>
      <b/>
      <sz val="12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Baseline vs Target vs Current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1"/>
          <c:cat>
            <c:strRef>
              <c:f>'KPI Data'!$A$2:$A$7</c:f>
              <c:strCache>
                <c:ptCount val="6"/>
                <c:pt idx="0">
                  <c:v>Marketing ROI %</c:v>
                </c:pt>
                <c:pt idx="1">
                  <c:v>ROAS</c:v>
                </c:pt>
                <c:pt idx="2">
                  <c:v>CPQL</c:v>
                </c:pt>
                <c:pt idx="3">
                  <c:v>Qualified Lead Rate %</c:v>
                </c:pt>
                <c:pt idx="4">
                  <c:v>Lead-to-Customer %</c:v>
                </c:pt>
                <c:pt idx="5">
                  <c:v>Wasted Spend %</c:v>
                </c:pt>
              </c:strCache>
            </c:strRef>
          </c:cat>
          <c:val>
            <c:numRef>
              <c:f>'KPI Data'!$B$2:$B$7</c:f>
              <c:numCache>
                <c:formatCode>0.00\x</c:formatCode>
                <c:ptCount val="6"/>
                <c:pt idx="0" formatCode="0.0%">
                  <c:v>1.28</c:v>
                </c:pt>
                <c:pt idx="1">
                  <c:v>2.2799999999999998</c:v>
                </c:pt>
                <c:pt idx="2" formatCode="\$0">
                  <c:v>186</c:v>
                </c:pt>
                <c:pt idx="3" formatCode="0.0%">
                  <c:v>0.38</c:v>
                </c:pt>
                <c:pt idx="4" formatCode="0.0%">
                  <c:v>8.2000000000000003E-2</c:v>
                </c:pt>
                <c:pt idx="5" formatCode="0.0%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5-9A43-8406-D7D7E2CCBCB7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'KPI Data'!$A$2:$A$7</c:f>
              <c:strCache>
                <c:ptCount val="6"/>
                <c:pt idx="0">
                  <c:v>Marketing ROI %</c:v>
                </c:pt>
                <c:pt idx="1">
                  <c:v>ROAS</c:v>
                </c:pt>
                <c:pt idx="2">
                  <c:v>CPQL</c:v>
                </c:pt>
                <c:pt idx="3">
                  <c:v>Qualified Lead Rate %</c:v>
                </c:pt>
                <c:pt idx="4">
                  <c:v>Lead-to-Customer %</c:v>
                </c:pt>
                <c:pt idx="5">
                  <c:v>Wasted Spend %</c:v>
                </c:pt>
              </c:strCache>
            </c:strRef>
          </c:cat>
          <c:val>
            <c:numRef>
              <c:f>'KPI Data'!$C$2:$C$7</c:f>
              <c:numCache>
                <c:formatCode>0.00\x</c:formatCode>
                <c:ptCount val="6"/>
                <c:pt idx="0" formatCode="0.0%">
                  <c:v>1.9</c:v>
                </c:pt>
                <c:pt idx="1">
                  <c:v>3.1</c:v>
                </c:pt>
                <c:pt idx="2" formatCode="\$0">
                  <c:v>125</c:v>
                </c:pt>
                <c:pt idx="3" formatCode="0.0%">
                  <c:v>0.55000000000000004</c:v>
                </c:pt>
                <c:pt idx="4" formatCode="0.0%">
                  <c:v>0.12</c:v>
                </c:pt>
                <c:pt idx="5" formatCode="0.0%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5-9A43-8406-D7D7E2CCBCB7}"/>
            </c:ext>
          </c:extLst>
        </c:ser>
        <c:ser>
          <c:idx val="2"/>
          <c:order val="2"/>
          <c:tx>
            <c:v>Current</c:v>
          </c:tx>
          <c:invertIfNegative val="1"/>
          <c:cat>
            <c:strRef>
              <c:f>'KPI Data'!$A$2:$A$7</c:f>
              <c:strCache>
                <c:ptCount val="6"/>
                <c:pt idx="0">
                  <c:v>Marketing ROI %</c:v>
                </c:pt>
                <c:pt idx="1">
                  <c:v>ROAS</c:v>
                </c:pt>
                <c:pt idx="2">
                  <c:v>CPQL</c:v>
                </c:pt>
                <c:pt idx="3">
                  <c:v>Qualified Lead Rate %</c:v>
                </c:pt>
                <c:pt idx="4">
                  <c:v>Lead-to-Customer %</c:v>
                </c:pt>
                <c:pt idx="5">
                  <c:v>Wasted Spend %</c:v>
                </c:pt>
              </c:strCache>
            </c:strRef>
          </c:cat>
          <c:val>
            <c:numRef>
              <c:f>'KPI Data'!$D$2:$D$7</c:f>
              <c:numCache>
                <c:formatCode>0.00\x</c:formatCode>
                <c:ptCount val="6"/>
                <c:pt idx="0" formatCode="0.0%">
                  <c:v>2.2799999999999998</c:v>
                </c:pt>
                <c:pt idx="1">
                  <c:v>3.28</c:v>
                </c:pt>
                <c:pt idx="2" formatCode="\$0">
                  <c:v>119</c:v>
                </c:pt>
                <c:pt idx="3" formatCode="0.0%">
                  <c:v>0.56999999999999995</c:v>
                </c:pt>
                <c:pt idx="4" formatCode="0.0%">
                  <c:v>0.126</c:v>
                </c:pt>
                <c:pt idx="5" formatCode="0.0%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A5-9A43-8406-D7D7E2CCB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Target Attainment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FD9-3D4B-81B6-6B57AD273C3A}"/>
            </c:ext>
          </c:extLst>
        </c:ser>
        <c:ser>
          <c:idx val="1"/>
          <c:order val="1"/>
          <c:tx>
            <c:v>Target Attainment</c:v>
          </c:tx>
          <c:invertIfNegative val="1"/>
          <c:cat>
            <c:strRef>
              <c:f>'KPI Data'!$A$2:$A$7</c:f>
              <c:strCache>
                <c:ptCount val="6"/>
                <c:pt idx="0">
                  <c:v>Marketing ROI %</c:v>
                </c:pt>
                <c:pt idx="1">
                  <c:v>ROAS</c:v>
                </c:pt>
                <c:pt idx="2">
                  <c:v>CPQL</c:v>
                </c:pt>
                <c:pt idx="3">
                  <c:v>Qualified Lead Rate %</c:v>
                </c:pt>
                <c:pt idx="4">
                  <c:v>Lead-to-Customer %</c:v>
                </c:pt>
                <c:pt idx="5">
                  <c:v>Wasted Spend %</c:v>
                </c:pt>
              </c:strCache>
            </c:strRef>
          </c:cat>
          <c:val>
            <c:numRef>
              <c:f>'KPI Data'!$G$2:$G$7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9-3D4B-81B6-6B57AD273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sqref="A1:N2"/>
    </sheetView>
  </sheetViews>
  <sheetFormatPr baseColWidth="10" defaultColWidth="8.83203125" defaultRowHeight="15"/>
  <cols>
    <col min="1" max="1" width="18" customWidth="1"/>
    <col min="2" max="4" width="13" customWidth="1"/>
    <col min="5" max="5" width="3" customWidth="1"/>
    <col min="6" max="6" width="18" customWidth="1"/>
    <col min="7" max="9" width="13" customWidth="1"/>
    <col min="10" max="10" width="14.6640625" customWidth="1"/>
    <col min="11" max="11" width="18" customWidth="1"/>
    <col min="12" max="14" width="13" customWidth="1"/>
  </cols>
  <sheetData>
    <row r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spans="1:14">
      <c r="A5" s="11" t="str">
        <f>'KPI Data'!A2&amp;CHAR(10)&amp;TEXT('KPI Data'!D2,"0.0%")&amp;CHAR(10)&amp;"Target: "&amp;TEXT('KPI Data'!C2,"0.0%")&amp;"   |   "&amp;'KPI Data'!H2</f>
        <v>Marketing ROI %
228.0%
Target: 190.0%   |   ON TRACK</v>
      </c>
      <c r="B5" s="12"/>
      <c r="C5" s="12"/>
      <c r="D5" s="13"/>
      <c r="F5" s="11" t="str">
        <f>'KPI Data'!A3&amp;CHAR(10)&amp;TEXT('KPI Data'!D3,"0.00x")&amp;CHAR(10)&amp;"Target: "&amp;TEXT('KPI Data'!C3,"0.00x")&amp;"   |   "&amp;'KPI Data'!H3</f>
        <v>ROAS
3.28x
Target: 3.10x   |   ON TRACK</v>
      </c>
      <c r="G5" s="12"/>
      <c r="H5" s="12"/>
      <c r="I5" s="13"/>
      <c r="K5" s="11" t="str">
        <f>'KPI Data'!A4&amp;CHAR(10)&amp;TEXT('KPI Data'!D4,"$0")&amp;CHAR(10)&amp;"Target: "&amp;TEXT('KPI Data'!C4,"$0")&amp;"   |   "&amp;'KPI Data'!H4</f>
        <v>CPQL
$119
Target: $125   |   ON TRACK</v>
      </c>
      <c r="L5" s="12"/>
      <c r="M5" s="12"/>
      <c r="N5" s="13"/>
    </row>
    <row r="6" spans="1:14">
      <c r="A6" s="14"/>
      <c r="B6" s="15"/>
      <c r="C6" s="15"/>
      <c r="D6" s="16"/>
      <c r="F6" s="14"/>
      <c r="G6" s="15"/>
      <c r="H6" s="15"/>
      <c r="I6" s="16"/>
      <c r="K6" s="14"/>
      <c r="L6" s="15"/>
      <c r="M6" s="15"/>
      <c r="N6" s="16"/>
    </row>
    <row r="7" spans="1:14">
      <c r="A7" s="14"/>
      <c r="B7" s="15"/>
      <c r="C7" s="15"/>
      <c r="D7" s="16"/>
      <c r="F7" s="14"/>
      <c r="G7" s="15"/>
      <c r="H7" s="15"/>
      <c r="I7" s="16"/>
      <c r="K7" s="14"/>
      <c r="L7" s="15"/>
      <c r="M7" s="15"/>
      <c r="N7" s="16"/>
    </row>
    <row r="8" spans="1:14">
      <c r="A8" s="14"/>
      <c r="B8" s="15"/>
      <c r="C8" s="15"/>
      <c r="D8" s="16"/>
      <c r="F8" s="14"/>
      <c r="G8" s="15"/>
      <c r="H8" s="15"/>
      <c r="I8" s="16"/>
      <c r="K8" s="14"/>
      <c r="L8" s="15"/>
      <c r="M8" s="15"/>
      <c r="N8" s="16"/>
    </row>
    <row r="9" spans="1:14">
      <c r="A9" s="17"/>
      <c r="B9" s="18"/>
      <c r="C9" s="18"/>
      <c r="D9" s="19"/>
      <c r="F9" s="17"/>
      <c r="G9" s="18"/>
      <c r="H9" s="18"/>
      <c r="I9" s="19"/>
      <c r="K9" s="17"/>
      <c r="L9" s="18"/>
      <c r="M9" s="18"/>
      <c r="N9" s="19"/>
    </row>
    <row r="11" spans="1:14">
      <c r="A11" s="11" t="str">
        <f>'KPI Data'!A5&amp;CHAR(10)&amp;TEXT('KPI Data'!D5,"0.0%")&amp;CHAR(10)&amp;"Target: "&amp;TEXT('KPI Data'!C5,"0.0%")&amp;"   |   "&amp;'KPI Data'!H5</f>
        <v>Qualified Lead Rate %
57.0%
Target: 55.0%   |   ON TRACK</v>
      </c>
      <c r="B11" s="12"/>
      <c r="C11" s="12"/>
      <c r="D11" s="13"/>
      <c r="F11" s="11" t="str">
        <f>'KPI Data'!A6&amp;CHAR(10)&amp;TEXT('KPI Data'!D6,"0.0%")&amp;CHAR(10)&amp;"Target: "&amp;TEXT('KPI Data'!C6,"0.0%")&amp;"   |   "&amp;'KPI Data'!H6</f>
        <v>Lead-to-Customer %
12.6%
Target: 12.0%   |   ON TRACK</v>
      </c>
      <c r="G11" s="12"/>
      <c r="H11" s="12"/>
      <c r="I11" s="13"/>
      <c r="K11" s="11" t="str">
        <f>'KPI Data'!A7&amp;CHAR(10)&amp;TEXT('KPI Data'!D7,"0.0%")&amp;CHAR(10)&amp;"Target: "&amp;TEXT('KPI Data'!C7,"0.0%")&amp;"   |   "&amp;'KPI Data'!H7</f>
        <v>Wasted Spend %
6.0%
Target: 7.0%   |   ON TRACK</v>
      </c>
      <c r="L11" s="12"/>
      <c r="M11" s="12"/>
      <c r="N11" s="13"/>
    </row>
    <row r="12" spans="1:14">
      <c r="A12" s="14"/>
      <c r="B12" s="15"/>
      <c r="C12" s="15"/>
      <c r="D12" s="16"/>
      <c r="F12" s="14"/>
      <c r="G12" s="15"/>
      <c r="H12" s="15"/>
      <c r="I12" s="16"/>
      <c r="K12" s="14"/>
      <c r="L12" s="15"/>
      <c r="M12" s="15"/>
      <c r="N12" s="16"/>
    </row>
    <row r="13" spans="1:14">
      <c r="A13" s="14"/>
      <c r="B13" s="15"/>
      <c r="C13" s="15"/>
      <c r="D13" s="16"/>
      <c r="F13" s="14"/>
      <c r="G13" s="15"/>
      <c r="H13" s="15"/>
      <c r="I13" s="16"/>
      <c r="K13" s="14"/>
      <c r="L13" s="15"/>
      <c r="M13" s="15"/>
      <c r="N13" s="16"/>
    </row>
    <row r="14" spans="1:14">
      <c r="A14" s="14"/>
      <c r="B14" s="15"/>
      <c r="C14" s="15"/>
      <c r="D14" s="16"/>
      <c r="F14" s="14"/>
      <c r="G14" s="15"/>
      <c r="H14" s="15"/>
      <c r="I14" s="16"/>
      <c r="K14" s="14"/>
      <c r="L14" s="15"/>
      <c r="M14" s="15"/>
      <c r="N14" s="16"/>
    </row>
    <row r="15" spans="1:14">
      <c r="A15" s="17"/>
      <c r="B15" s="18"/>
      <c r="C15" s="18"/>
      <c r="D15" s="19"/>
      <c r="F15" s="17"/>
      <c r="G15" s="18"/>
      <c r="H15" s="18"/>
      <c r="I15" s="19"/>
      <c r="K15" s="17"/>
      <c r="L15" s="18"/>
      <c r="M15" s="18"/>
      <c r="N15" s="19"/>
    </row>
    <row r="18" spans="1:14">
      <c r="A18" s="20" t="s">
        <v>2</v>
      </c>
      <c r="B18" s="20"/>
      <c r="C18" s="20"/>
      <c r="D18" s="20"/>
      <c r="E18" s="20"/>
      <c r="F18" s="20"/>
      <c r="G18" s="20"/>
      <c r="I18" s="20" t="s">
        <v>3</v>
      </c>
      <c r="J18" s="20"/>
      <c r="K18" s="20"/>
      <c r="L18" s="20"/>
      <c r="M18" s="20"/>
      <c r="N18" s="20"/>
    </row>
    <row r="19" spans="1:14" ht="208">
      <c r="A19" s="21" t="s">
        <v>4</v>
      </c>
      <c r="B19" s="21"/>
      <c r="C19" s="21"/>
      <c r="D19" s="21"/>
      <c r="E19" s="21"/>
      <c r="F19" s="21"/>
      <c r="G19" s="21"/>
      <c r="I19" s="7" t="str">
        <f>'Management Actions'!A1</f>
        <v>Priority</v>
      </c>
      <c r="J19" s="7" t="str">
        <f>'Management Actions'!B1</f>
        <v>Management Action</v>
      </c>
      <c r="K19" s="7" t="str">
        <f>'Management Actions'!C1</f>
        <v>Owner</v>
      </c>
      <c r="L19" s="7" t="str">
        <f>'Management Actions'!D1</f>
        <v>Due</v>
      </c>
      <c r="M19" s="7" t="str">
        <f>'Management Actions'!E1</f>
        <v>Status</v>
      </c>
      <c r="N19" s="7" t="str">
        <f>'Management Actions'!F1</f>
        <v>Decision / Evidence</v>
      </c>
    </row>
    <row r="20" spans="1:14" ht="256">
      <c r="A20" s="21"/>
      <c r="B20" s="21"/>
      <c r="C20" s="21"/>
      <c r="D20" s="21"/>
      <c r="E20" s="21"/>
      <c r="F20" s="21"/>
      <c r="G20" s="21"/>
      <c r="I20" s="8" t="str">
        <f>'Management Actions'!A2</f>
        <v>1</v>
      </c>
      <c r="J20" s="8" t="str">
        <f>'Management Actions'!B2</f>
        <v>Protect target performance</v>
      </c>
      <c r="K20" s="8" t="str">
        <f>'Management Actions'!C2</f>
        <v>Functional Lead</v>
      </c>
      <c r="L20" s="8" t="str">
        <f>'Management Actions'!D2</f>
        <v>Next Review</v>
      </c>
      <c r="M20" s="8" t="str">
        <f>'Management Actions'!E2</f>
        <v>In Progress</v>
      </c>
      <c r="N20" s="8" t="str">
        <f>'Management Actions'!F2</f>
        <v>Monitor KPI exceptions and root causes</v>
      </c>
    </row>
    <row r="21" spans="1:14" ht="304">
      <c r="A21" s="21"/>
      <c r="B21" s="21"/>
      <c r="C21" s="21"/>
      <c r="D21" s="21"/>
      <c r="E21" s="21"/>
      <c r="F21" s="21"/>
      <c r="G21" s="21"/>
      <c r="I21" s="8" t="str">
        <f>'Management Actions'!A3</f>
        <v>2</v>
      </c>
      <c r="J21" s="8" t="str">
        <f>'Management Actions'!B3</f>
        <v>Close remaining red/amber items</v>
      </c>
      <c r="K21" s="8" t="str">
        <f>'Management Actions'!C3</f>
        <v>Workstream Owner</v>
      </c>
      <c r="L21" s="8" t="str">
        <f>'Management Actions'!D3</f>
        <v>Next Review</v>
      </c>
      <c r="M21" s="8" t="str">
        <f>'Management Actions'!E3</f>
        <v>In Progress</v>
      </c>
      <c r="N21" s="8" t="str">
        <f>'Management Actions'!F3</f>
        <v>Document corrective actions</v>
      </c>
    </row>
    <row r="22" spans="1:14" ht="192">
      <c r="A22" s="21"/>
      <c r="B22" s="21"/>
      <c r="C22" s="21"/>
      <c r="D22" s="21"/>
      <c r="E22" s="21"/>
      <c r="F22" s="21"/>
      <c r="G22" s="21"/>
      <c r="I22" s="8" t="str">
        <f>'Management Actions'!A4</f>
        <v>3</v>
      </c>
      <c r="J22" s="8" t="str">
        <f>'Management Actions'!B4</f>
        <v>Validate data quality</v>
      </c>
      <c r="K22" s="8" t="str">
        <f>'Management Actions'!C4</f>
        <v>Analytics / Ops</v>
      </c>
      <c r="L22" s="8" t="str">
        <f>'Management Actions'!D4</f>
        <v>Monthly</v>
      </c>
      <c r="M22" s="8" t="str">
        <f>'Management Actions'!E4</f>
        <v>In Progress</v>
      </c>
      <c r="N22" s="8" t="str">
        <f>'Management Actions'!F4</f>
        <v>Reconcile source and dashboard</v>
      </c>
    </row>
    <row r="23" spans="1:14" ht="256">
      <c r="A23" s="21"/>
      <c r="B23" s="21"/>
      <c r="C23" s="21"/>
      <c r="D23" s="21"/>
      <c r="E23" s="21"/>
      <c r="F23" s="21"/>
      <c r="G23" s="21"/>
      <c r="I23" s="8" t="str">
        <f>'Management Actions'!A5</f>
        <v>4</v>
      </c>
      <c r="J23" s="8" t="str">
        <f>'Management Actions'!B5</f>
        <v>Sustain operating controls</v>
      </c>
      <c r="K23" s="8" t="str">
        <f>'Management Actions'!C5</f>
        <v>Operations</v>
      </c>
      <c r="L23" s="8" t="str">
        <f>'Management Actions'!D5</f>
        <v>30 Days</v>
      </c>
      <c r="M23" s="8" t="str">
        <f>'Management Actions'!E5</f>
        <v>Planned</v>
      </c>
      <c r="N23" s="8" t="str">
        <f>'Management Actions'!F5</f>
        <v>Audit control adherence</v>
      </c>
    </row>
    <row r="24" spans="1:14" ht="304">
      <c r="A24" s="21"/>
      <c r="B24" s="21"/>
      <c r="C24" s="21"/>
      <c r="D24" s="21"/>
      <c r="E24" s="21"/>
      <c r="F24" s="21"/>
      <c r="G24" s="21"/>
      <c r="I24" s="8" t="str">
        <f>'Management Actions'!A6</f>
        <v>5</v>
      </c>
      <c r="J24" s="8" t="str">
        <f>'Management Actions'!B6</f>
        <v>Transition stable controls to BAU</v>
      </c>
      <c r="K24" s="8" t="str">
        <f>'Management Actions'!C6</f>
        <v>Leadership</v>
      </c>
      <c r="L24" s="8" t="str">
        <f>'Management Actions'!D6</f>
        <v>90 Days</v>
      </c>
      <c r="M24" s="8" t="str">
        <f>'Management Actions'!E6</f>
        <v>Planned</v>
      </c>
      <c r="N24" s="8" t="str">
        <f>'Management Actions'!F6</f>
        <v>Approve governance cadence</v>
      </c>
    </row>
    <row r="25" spans="1:14">
      <c r="A25" s="21"/>
      <c r="B25" s="21"/>
      <c r="C25" s="21"/>
      <c r="D25" s="21"/>
      <c r="E25" s="21"/>
      <c r="F25" s="21"/>
      <c r="G25" s="21"/>
    </row>
  </sheetData>
  <mergeCells count="11">
    <mergeCell ref="A11:D15"/>
    <mergeCell ref="F11:I15"/>
    <mergeCell ref="K11:N15"/>
    <mergeCell ref="A18:G18"/>
    <mergeCell ref="A19:G25"/>
    <mergeCell ref="I18:N18"/>
    <mergeCell ref="A1:N2"/>
    <mergeCell ref="A3:N3"/>
    <mergeCell ref="A5:D9"/>
    <mergeCell ref="F5:I9"/>
    <mergeCell ref="K5:N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/>
  <cols>
    <col min="1" max="1" width="18.83203125" customWidth="1"/>
    <col min="2" max="2" width="10.5" customWidth="1"/>
    <col min="3" max="3" width="10.1640625" customWidth="1"/>
    <col min="4" max="4" width="12.6640625" customWidth="1"/>
    <col min="5" max="5" width="10.5" customWidth="1"/>
    <col min="6" max="6" width="13" customWidth="1"/>
    <col min="7" max="7" width="15.5" customWidth="1"/>
    <col min="8" max="8" width="10.83203125" customWidth="1"/>
  </cols>
  <sheetData>
    <row r="1" spans="1:8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</row>
    <row r="2" spans="1:8">
      <c r="A2" t="s">
        <v>13</v>
      </c>
      <c r="B2" s="1">
        <v>1.28</v>
      </c>
      <c r="C2" s="1">
        <v>1.9</v>
      </c>
      <c r="D2" s="1">
        <v>2.2799999999999998</v>
      </c>
      <c r="E2" t="s">
        <v>14</v>
      </c>
      <c r="F2" s="1">
        <f t="shared" ref="F2:F7" si="0">IF(E2="higher",D2-C2,C2-D2)</f>
        <v>0.37999999999999989</v>
      </c>
      <c r="G2" s="2">
        <f t="shared" ref="G2:G7" si="1">IF(E2="higher",MIN(D2/C2,1),IF(D2&lt;=C2,1,C2/D2))</f>
        <v>1</v>
      </c>
      <c r="H2" t="str">
        <f t="shared" ref="H2:H7" si="2">IF(E2="higher",IF(D2&gt;=C2,"ON TRACK",IF(D2&gt;=C2*0.95,"AT RISK","OFF TRACK")),IF(D2&lt;=C2,"ON TRACK",IF(D2&lt;=C2*1.15,"AT RISK","OFF TRACK")))</f>
        <v>ON TRACK</v>
      </c>
    </row>
    <row r="3" spans="1:8">
      <c r="A3" t="s">
        <v>15</v>
      </c>
      <c r="B3" s="3">
        <v>2.2799999999999998</v>
      </c>
      <c r="C3" s="3">
        <v>3.1</v>
      </c>
      <c r="D3" s="3">
        <v>3.28</v>
      </c>
      <c r="E3" t="s">
        <v>14</v>
      </c>
      <c r="F3" s="3">
        <f t="shared" si="0"/>
        <v>0.17999999999999972</v>
      </c>
      <c r="G3" s="2">
        <f t="shared" si="1"/>
        <v>1</v>
      </c>
      <c r="H3" t="str">
        <f t="shared" si="2"/>
        <v>ON TRACK</v>
      </c>
    </row>
    <row r="4" spans="1:8">
      <c r="A4" t="s">
        <v>16</v>
      </c>
      <c r="B4" s="4">
        <v>186</v>
      </c>
      <c r="C4" s="4">
        <v>125</v>
      </c>
      <c r="D4" s="4">
        <v>119</v>
      </c>
      <c r="E4" t="s">
        <v>17</v>
      </c>
      <c r="F4" s="4">
        <f t="shared" si="0"/>
        <v>6</v>
      </c>
      <c r="G4" s="2">
        <f t="shared" si="1"/>
        <v>1</v>
      </c>
      <c r="H4" t="str">
        <f t="shared" si="2"/>
        <v>ON TRACK</v>
      </c>
    </row>
    <row r="5" spans="1:8">
      <c r="A5" t="s">
        <v>18</v>
      </c>
      <c r="B5" s="1">
        <v>0.38</v>
      </c>
      <c r="C5" s="1">
        <v>0.55000000000000004</v>
      </c>
      <c r="D5" s="1">
        <v>0.56999999999999995</v>
      </c>
      <c r="E5" t="s">
        <v>14</v>
      </c>
      <c r="F5" s="1">
        <f t="shared" si="0"/>
        <v>1.9999999999999907E-2</v>
      </c>
      <c r="G5" s="2">
        <f t="shared" si="1"/>
        <v>1</v>
      </c>
      <c r="H5" t="str">
        <f t="shared" si="2"/>
        <v>ON TRACK</v>
      </c>
    </row>
    <row r="6" spans="1:8">
      <c r="A6" t="s">
        <v>19</v>
      </c>
      <c r="B6" s="1">
        <v>8.2000000000000003E-2</v>
      </c>
      <c r="C6" s="1">
        <v>0.12</v>
      </c>
      <c r="D6" s="1">
        <v>0.126</v>
      </c>
      <c r="E6" t="s">
        <v>14</v>
      </c>
      <c r="F6" s="1">
        <f t="shared" si="0"/>
        <v>6.0000000000000053E-3</v>
      </c>
      <c r="G6" s="2">
        <f t="shared" si="1"/>
        <v>1</v>
      </c>
      <c r="H6" t="str">
        <f t="shared" si="2"/>
        <v>ON TRACK</v>
      </c>
    </row>
    <row r="7" spans="1:8">
      <c r="A7" t="s">
        <v>20</v>
      </c>
      <c r="B7" s="1">
        <v>0.18</v>
      </c>
      <c r="C7" s="1">
        <v>7.0000000000000007E-2</v>
      </c>
      <c r="D7" s="1">
        <v>0.06</v>
      </c>
      <c r="E7" t="s">
        <v>17</v>
      </c>
      <c r="F7" s="1">
        <f t="shared" si="0"/>
        <v>1.0000000000000009E-2</v>
      </c>
      <c r="G7" s="2">
        <f t="shared" si="1"/>
        <v>1</v>
      </c>
      <c r="H7" t="str">
        <f t="shared" si="2"/>
        <v>ON TRACK</v>
      </c>
    </row>
  </sheetData>
  <conditionalFormatting sqref="H2:H7">
    <cfRule type="expression" dxfId="2" priority="1">
      <formula>H2="ON TRACK"</formula>
    </cfRule>
    <cfRule type="expression" dxfId="1" priority="2">
      <formula>H2="AT RISK"</formula>
    </cfRule>
    <cfRule type="expression" dxfId="0" priority="3">
      <formula>H2="OFF TRACK"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/>
  </sheetViews>
  <sheetFormatPr baseColWidth="10" defaultColWidth="8.83203125" defaultRowHeight="15"/>
  <cols>
    <col min="1" max="1" width="9.5" customWidth="1"/>
    <col min="2" max="2" width="29.83203125" customWidth="1"/>
    <col min="3" max="3" width="19.33203125" customWidth="1"/>
    <col min="4" max="4" width="14.1640625" customWidth="1"/>
    <col min="5" max="5" width="12.83203125" customWidth="1"/>
    <col min="6" max="6" width="34.83203125" customWidth="1"/>
  </cols>
  <sheetData>
    <row r="1" spans="1:6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 spans="1:6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>
      <c r="A3" t="s">
        <v>33</v>
      </c>
      <c r="B3" t="s">
        <v>34</v>
      </c>
      <c r="C3" t="s">
        <v>35</v>
      </c>
      <c r="D3" t="s">
        <v>30</v>
      </c>
      <c r="E3" t="s">
        <v>31</v>
      </c>
      <c r="F3" t="s">
        <v>36</v>
      </c>
    </row>
    <row r="4" spans="1:6">
      <c r="A4" t="s">
        <v>37</v>
      </c>
      <c r="B4" t="s">
        <v>38</v>
      </c>
      <c r="C4" t="s">
        <v>39</v>
      </c>
      <c r="D4" t="s">
        <v>40</v>
      </c>
      <c r="E4" t="s">
        <v>31</v>
      </c>
      <c r="F4" t="s">
        <v>41</v>
      </c>
    </row>
    <row r="5" spans="1:6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</row>
    <row r="6" spans="1:6">
      <c r="A6" t="s">
        <v>48</v>
      </c>
      <c r="B6" t="s">
        <v>49</v>
      </c>
      <c r="C6" t="s">
        <v>50</v>
      </c>
      <c r="D6" t="s">
        <v>51</v>
      </c>
      <c r="E6" t="s">
        <v>46</v>
      </c>
      <c r="F6" t="s">
        <v>52</v>
      </c>
    </row>
  </sheetData>
  <dataValidations count="1">
    <dataValidation type="list" sqref="E2:E6" xr:uid="{00000000-0002-0000-0200-000000000000}">
      <formula1>"Not Started,Planned,In Progress,Complete,Blocked"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KPI Data</vt:lpstr>
      <vt:lpstr>Management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Christian</cp:lastModifiedBy>
  <dcterms:modified xsi:type="dcterms:W3CDTF">2026-09-11T02:59:46Z</dcterms:modified>
</cp:coreProperties>
</file>