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A06CB846-7A8A-A944-B85E-06F77EA7434E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A11" i="1" s="1"/>
  <c r="G5" i="2"/>
  <c r="F5" i="2"/>
  <c r="H4" i="2"/>
  <c r="G4" i="2"/>
  <c r="F4" i="2"/>
  <c r="H3" i="2"/>
  <c r="F5" i="1" s="1"/>
  <c r="G3" i="2"/>
  <c r="F3" i="2"/>
  <c r="H2" i="2"/>
  <c r="A5" i="1" s="1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K5" i="1"/>
</calcChain>
</file>

<file path=xl/sharedStrings.xml><?xml version="1.0" encoding="utf-8"?>
<sst xmlns="http://schemas.openxmlformats.org/spreadsheetml/2006/main" count="61" uniqueCount="53">
  <si>
    <t>PRODUCT OPERATIONS | EXECUTIVE PERFORMANCE DASHBOARD</t>
  </si>
  <si>
    <t>Customer Onboarding Optimization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</si>
  <si>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</si>
  <si>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</si>
  <si>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</si>
  <si>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</si>
  <si>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</si>
  <si>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</si>
  <si>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</si>
  <si>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</si>
  <si>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</si>
  <si>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</si>
  <si>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</si>
  <si>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Onboarding Completion %</t>
  </si>
  <si>
    <t>higher</t>
  </si>
  <si>
    <t>14-Day Activation %</t>
  </si>
  <si>
    <t>Median TTV (days)</t>
  </si>
  <si>
    <t>lower</t>
  </si>
  <si>
    <t>Handoff Completeness %</t>
  </si>
  <si>
    <t>CSAT</t>
  </si>
  <si>
    <t>Retention Risk %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</si>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</sst>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Onboarding Completion %</c:v>
                </c:pt>
                <c:pt idx="1">
                  <c:v>14-Day Activation %</c:v>
                </c:pt>
                <c:pt idx="2">
                  <c:v>Median TTV (days)</c:v>
                </c:pt>
                <c:pt idx="3">
                  <c:v>Handoff Completeness %</c:v>
                </c:pt>
                <c:pt idx="4">
                  <c:v>CSAT</c:v>
                </c:pt>
                <c:pt idx="5">
                  <c:v>Retention Risk %</c:v>
                </c:pt>
              </c:strCache>
            </c:strRef>
          </c:cat>
          <c:val>
            <c:numRef>
              <c:f>'KPI Data'!$B$2:$B$7</c:f>
              <c:numCache>
                <c:formatCode>0.0%</c:formatCode>
                <c:ptCount val="6"/>
                <c:pt idx="0">
                  <c:v>0.72</c:v>
                </c:pt>
                <c:pt idx="1">
                  <c:v>0.61</c:v>
                </c:pt>
                <c:pt idx="2" formatCode="0">
                  <c:v>18</c:v>
                </c:pt>
                <c:pt idx="3">
                  <c:v>0.68</c:v>
                </c:pt>
                <c:pt idx="4" formatCode="0.0">
                  <c:v>3.8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B94D-83CB-C47C8235F8DF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Onboarding Completion %</c:v>
                </c:pt>
                <c:pt idx="1">
                  <c:v>14-Day Activation %</c:v>
                </c:pt>
                <c:pt idx="2">
                  <c:v>Median TTV (days)</c:v>
                </c:pt>
                <c:pt idx="3">
                  <c:v>Handoff Completeness %</c:v>
                </c:pt>
                <c:pt idx="4">
                  <c:v>CSAT</c:v>
                </c:pt>
                <c:pt idx="5">
                  <c:v>Retention Risk %</c:v>
                </c:pt>
              </c:strCache>
            </c:strRef>
          </c:cat>
          <c:val>
            <c:numRef>
              <c:f>'KPI Data'!$C$2:$C$7</c:f>
              <c:numCache>
                <c:formatCode>0.0%</c:formatCode>
                <c:ptCount val="6"/>
                <c:pt idx="0">
                  <c:v>0.92</c:v>
                </c:pt>
                <c:pt idx="1">
                  <c:v>0.85</c:v>
                </c:pt>
                <c:pt idx="2" formatCode="0">
                  <c:v>10</c:v>
                </c:pt>
                <c:pt idx="3">
                  <c:v>0.95</c:v>
                </c:pt>
                <c:pt idx="4" formatCode="0.0">
                  <c:v>4.5</c:v>
                </c:pt>
                <c:pt idx="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B-B94D-83CB-C47C8235F8DF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Onboarding Completion %</c:v>
                </c:pt>
                <c:pt idx="1">
                  <c:v>14-Day Activation %</c:v>
                </c:pt>
                <c:pt idx="2">
                  <c:v>Median TTV (days)</c:v>
                </c:pt>
                <c:pt idx="3">
                  <c:v>Handoff Completeness %</c:v>
                </c:pt>
                <c:pt idx="4">
                  <c:v>CSAT</c:v>
                </c:pt>
                <c:pt idx="5">
                  <c:v>Retention Risk %</c:v>
                </c:pt>
              </c:strCache>
            </c:strRef>
          </c:cat>
          <c:val>
            <c:numRef>
              <c:f>'KPI Data'!$D$2:$D$7</c:f>
              <c:numCache>
                <c:formatCode>0.0%</c:formatCode>
                <c:ptCount val="6"/>
                <c:pt idx="0">
                  <c:v>0.94</c:v>
                </c:pt>
                <c:pt idx="1">
                  <c:v>0.87</c:v>
                </c:pt>
                <c:pt idx="2" formatCode="0">
                  <c:v>9</c:v>
                </c:pt>
                <c:pt idx="3">
                  <c:v>0.97</c:v>
                </c:pt>
                <c:pt idx="4" formatCode="0.0">
                  <c:v>4.5999999999999996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B-B94D-83CB-C47C8235F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51-844A-A1F0-EFB0BE1654EB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Onboarding Completion %</c:v>
                </c:pt>
                <c:pt idx="1">
                  <c:v>14-Day Activation %</c:v>
                </c:pt>
                <c:pt idx="2">
                  <c:v>Median TTV (days)</c:v>
                </c:pt>
                <c:pt idx="3">
                  <c:v>Handoff Completeness %</c:v>
                </c:pt>
                <c:pt idx="4">
                  <c:v>CSAT</c:v>
                </c:pt>
                <c:pt idx="5">
                  <c:v>Retention Risk %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1-844A-A1F0-EFB0BE16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J20" sqref="J20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9" width="13" customWidth="1"/>
    <col min="10" max="10" width="13.6640625" customWidth="1"/>
    <col min="11" max="11" width="18" customWidth="1"/>
    <col min="12" max="14" width="13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>
      <c r="A5" s="11" t="str">
        <f>'KPI Data'!A2&amp;CHAR(10)&amp;TEXT('KPI Data'!D2,"0.0%")&amp;CHAR(10)&amp;"Target: "&amp;TEXT('KPI Data'!C2,"0.0%")&amp;"   |   "&amp;'KPI Data'!H2</f>
        <v>Onboarding Completion %
94.0%
Target: 92.0%   |   ON TRACK</v>
      </c>
      <c r="B5" s="12"/>
      <c r="C5" s="12"/>
      <c r="D5" s="13"/>
      <c r="F5" s="11" t="str">
        <f>'KPI Data'!A3&amp;CHAR(10)&amp;TEXT('KPI Data'!D3,"0.0%")&amp;CHAR(10)&amp;"Target: "&amp;TEXT('KPI Data'!C3,"0.0%")&amp;"   |   "&amp;'KPI Data'!H3</f>
        <v>14-Day Activation %
87.0%
Target: 85.0%   |   ON TRACK</v>
      </c>
      <c r="G5" s="12"/>
      <c r="H5" s="12"/>
      <c r="I5" s="13"/>
      <c r="K5" s="11" t="str">
        <f>'KPI Data'!A4&amp;CHAR(10)&amp;TEXT('KPI Data'!D4,"0")&amp;CHAR(10)&amp;"Target: "&amp;TEXT('KPI Data'!C4,"0")&amp;"   |   "&amp;'KPI Data'!H4</f>
        <v>Median TTV (days)
9
Target: 10   |   ON TRACK</v>
      </c>
      <c r="L5" s="12"/>
      <c r="M5" s="12"/>
      <c r="N5" s="13"/>
    </row>
    <row r="6" spans="1:14">
      <c r="A6" s="14"/>
      <c r="B6" s="15"/>
      <c r="C6" s="15"/>
      <c r="D6" s="16"/>
      <c r="F6" s="14"/>
      <c r="G6" s="15"/>
      <c r="H6" s="15"/>
      <c r="I6" s="16"/>
      <c r="K6" s="14"/>
      <c r="L6" s="15"/>
      <c r="M6" s="15"/>
      <c r="N6" s="16"/>
    </row>
    <row r="7" spans="1:14">
      <c r="A7" s="14"/>
      <c r="B7" s="15"/>
      <c r="C7" s="15"/>
      <c r="D7" s="16"/>
      <c r="F7" s="14"/>
      <c r="G7" s="15"/>
      <c r="H7" s="15"/>
      <c r="I7" s="16"/>
      <c r="K7" s="14"/>
      <c r="L7" s="15"/>
      <c r="M7" s="15"/>
      <c r="N7" s="16"/>
    </row>
    <row r="8" spans="1:14">
      <c r="A8" s="14"/>
      <c r="B8" s="15"/>
      <c r="C8" s="15"/>
      <c r="D8" s="16"/>
      <c r="F8" s="14"/>
      <c r="G8" s="15"/>
      <c r="H8" s="15"/>
      <c r="I8" s="16"/>
      <c r="K8" s="14"/>
      <c r="L8" s="15"/>
      <c r="M8" s="15"/>
      <c r="N8" s="16"/>
    </row>
    <row r="9" spans="1:14">
      <c r="A9" s="17"/>
      <c r="B9" s="18"/>
      <c r="C9" s="18"/>
      <c r="D9" s="19"/>
      <c r="F9" s="17"/>
      <c r="G9" s="18"/>
      <c r="H9" s="18"/>
      <c r="I9" s="19"/>
      <c r="K9" s="17"/>
      <c r="L9" s="18"/>
      <c r="M9" s="18"/>
      <c r="N9" s="19"/>
    </row>
    <row r="11" spans="1:14">
      <c r="A11" s="11" t="str">
        <f>'KPI Data'!A5&amp;CHAR(10)&amp;TEXT('KPI Data'!D5,"0.0%")&amp;CHAR(10)&amp;"Target: "&amp;TEXT('KPI Data'!C5,"0.0%")&amp;"   |   "&amp;'KPI Data'!H5</f>
        <v>Handoff Completeness %
97.0%
Target: 95.0%   |   ON TRACK</v>
      </c>
      <c r="B11" s="12"/>
      <c r="C11" s="12"/>
      <c r="D11" s="13"/>
      <c r="F11" s="11" t="str">
        <f>'KPI Data'!A6&amp;CHAR(10)&amp;TEXT('KPI Data'!D6,"0.0")&amp;CHAR(10)&amp;"Target: "&amp;TEXT('KPI Data'!C6,"0.0")&amp;"   |   "&amp;'KPI Data'!H6</f>
        <v>CSAT
4.6
Target: 4.5   |   ON TRACK</v>
      </c>
      <c r="G11" s="12"/>
      <c r="H11" s="12"/>
      <c r="I11" s="13"/>
      <c r="K11" s="11" t="str">
        <f>'KPI Data'!A7&amp;CHAR(10)&amp;TEXT('KPI Data'!D7,"0.0%")&amp;CHAR(10)&amp;"Target: "&amp;TEXT('KPI Data'!C7,"0.0%")&amp;"   |   "&amp;'KPI Data'!H7</f>
        <v>Retention Risk %
7.0%
Target: 8.0%   |   ON TRACK</v>
      </c>
      <c r="L11" s="12"/>
      <c r="M11" s="12"/>
      <c r="N11" s="13"/>
    </row>
    <row r="12" spans="1:14">
      <c r="A12" s="14"/>
      <c r="B12" s="15"/>
      <c r="C12" s="15"/>
      <c r="D12" s="16"/>
      <c r="F12" s="14"/>
      <c r="G12" s="15"/>
      <c r="H12" s="15"/>
      <c r="I12" s="16"/>
      <c r="K12" s="14"/>
      <c r="L12" s="15"/>
      <c r="M12" s="15"/>
      <c r="N12" s="16"/>
    </row>
    <row r="13" spans="1:14">
      <c r="A13" s="14"/>
      <c r="B13" s="15"/>
      <c r="C13" s="15"/>
      <c r="D13" s="16"/>
      <c r="F13" s="14"/>
      <c r="G13" s="15"/>
      <c r="H13" s="15"/>
      <c r="I13" s="16"/>
      <c r="K13" s="14"/>
      <c r="L13" s="15"/>
      <c r="M13" s="15"/>
      <c r="N13" s="16"/>
    </row>
    <row r="14" spans="1:14">
      <c r="A14" s="14"/>
      <c r="B14" s="15"/>
      <c r="C14" s="15"/>
      <c r="D14" s="16"/>
      <c r="F14" s="14"/>
      <c r="G14" s="15"/>
      <c r="H14" s="15"/>
      <c r="I14" s="16"/>
      <c r="K14" s="14"/>
      <c r="L14" s="15"/>
      <c r="M14" s="15"/>
      <c r="N14" s="16"/>
    </row>
    <row r="15" spans="1:14">
      <c r="A15" s="17"/>
      <c r="B15" s="18"/>
      <c r="C15" s="18"/>
      <c r="D15" s="19"/>
      <c r="F15" s="17"/>
      <c r="G15" s="18"/>
      <c r="H15" s="18"/>
      <c r="I15" s="19"/>
      <c r="K15" s="17"/>
      <c r="L15" s="18"/>
      <c r="M15" s="18"/>
      <c r="N15" s="19"/>
    </row>
    <row r="18" spans="1:14">
      <c r="A18" s="20" t="s">
        <v>2</v>
      </c>
      <c r="B18" s="20"/>
      <c r="C18" s="20"/>
      <c r="D18" s="20"/>
      <c r="E18" s="20"/>
      <c r="F18" s="20"/>
      <c r="G18" s="20"/>
      <c r="I18" s="20" t="s">
        <v>3</v>
      </c>
      <c r="J18" s="20"/>
      <c r="K18" s="20"/>
      <c r="L18" s="20"/>
      <c r="M18" s="20"/>
      <c r="N18" s="20"/>
    </row>
    <row r="19" spans="1:14" ht="208">
      <c r="A19" s="21" t="s">
        <v>4</v>
      </c>
      <c r="B19" s="21"/>
      <c r="C19" s="21"/>
      <c r="D19" s="21"/>
      <c r="E19" s="21"/>
      <c r="F19" s="21"/>
      <c r="G19" s="21"/>
      <c r="I19" s="7" t="str">
        <f>'Management Actions'!A1</f>
        <v>Priority</v>
      </c>
      <c r="J19" s="7" t="str">
        <f>'Management Actions'!B1</f>
        <v>Management Action</v>
      </c>
      <c r="K19" s="7" t="str">
        <f>'Management Actions'!C1</f>
        <v>Owner</v>
      </c>
      <c r="L19" s="7" t="str">
        <f>'Management Actions'!D1</f>
        <v>Due</v>
      </c>
      <c r="M19" s="7" t="str">
        <f>'Management Actions'!E1</f>
        <v>Status</v>
      </c>
      <c r="N19" s="7" t="str">
        <f>'Management Actions'!F1</f>
        <v>Decision / Evidence</v>
      </c>
    </row>
    <row r="20" spans="1:14" ht="256">
      <c r="A20" s="21"/>
      <c r="B20" s="21"/>
      <c r="C20" s="21"/>
      <c r="D20" s="21"/>
      <c r="E20" s="21"/>
      <c r="F20" s="21"/>
      <c r="G20" s="21"/>
      <c r="I20" s="8" t="str">
        <f>'Management Actions'!A2</f>
        <v>1</v>
      </c>
      <c r="J20" s="8" t="str">
        <f>'Management Actions'!B2</f>
        <v>Protect target performance</v>
      </c>
      <c r="K20" s="8" t="str">
        <f>'Management Actions'!C2</f>
        <v>Functional Lead</v>
      </c>
      <c r="L20" s="8" t="str">
        <f>'Management Actions'!D2</f>
        <v>Next Review</v>
      </c>
      <c r="M20" s="8" t="str">
        <f>'Management Actions'!E2</f>
        <v>In Progress</v>
      </c>
      <c r="N20" s="8" t="str">
        <f>'Management Actions'!F2</f>
        <v>Monitor KPI exceptions and root causes</v>
      </c>
    </row>
    <row r="21" spans="1:14" ht="304">
      <c r="A21" s="21"/>
      <c r="B21" s="21"/>
      <c r="C21" s="21"/>
      <c r="D21" s="21"/>
      <c r="E21" s="21"/>
      <c r="F21" s="21"/>
      <c r="G21" s="21"/>
      <c r="I21" s="8" t="str">
        <f>'Management Actions'!A3</f>
        <v>2</v>
      </c>
      <c r="J21" s="8" t="str">
        <f>'Management Actions'!B3</f>
        <v>Close remaining red/amber items</v>
      </c>
      <c r="K21" s="8" t="str">
        <f>'Management Actions'!C3</f>
        <v>Workstream Owner</v>
      </c>
      <c r="L21" s="8" t="str">
        <f>'Management Actions'!D3</f>
        <v>Next Review</v>
      </c>
      <c r="M21" s="8" t="str">
        <f>'Management Actions'!E3</f>
        <v>In Progress</v>
      </c>
      <c r="N21" s="8" t="str">
        <f>'Management Actions'!F3</f>
        <v>Document corrective actions</v>
      </c>
    </row>
    <row r="22" spans="1:14" ht="192">
      <c r="A22" s="21"/>
      <c r="B22" s="21"/>
      <c r="C22" s="21"/>
      <c r="D22" s="21"/>
      <c r="E22" s="21"/>
      <c r="F22" s="21"/>
      <c r="G22" s="21"/>
      <c r="I22" s="8" t="str">
        <f>'Management Actions'!A4</f>
        <v>3</v>
      </c>
      <c r="J22" s="8" t="str">
        <f>'Management Actions'!B4</f>
        <v>Validate data quality</v>
      </c>
      <c r="K22" s="8" t="str">
        <f>'Management Actions'!C4</f>
        <v>Analytics / Ops</v>
      </c>
      <c r="L22" s="8" t="str">
        <f>'Management Actions'!D4</f>
        <v>Monthly</v>
      </c>
      <c r="M22" s="8" t="str">
        <f>'Management Actions'!E4</f>
        <v>In Progress</v>
      </c>
      <c r="N22" s="8" t="str">
        <f>'Management Actions'!F4</f>
        <v>Reconcile source and dashboard</v>
      </c>
    </row>
    <row r="23" spans="1:14" ht="256">
      <c r="A23" s="21"/>
      <c r="B23" s="21"/>
      <c r="C23" s="21"/>
      <c r="D23" s="21"/>
      <c r="E23" s="21"/>
      <c r="F23" s="21"/>
      <c r="G23" s="21"/>
      <c r="I23" s="8" t="str">
        <f>'Management Actions'!A5</f>
        <v>4</v>
      </c>
      <c r="J23" s="8" t="str">
        <f>'Management Actions'!B5</f>
        <v>Sustain operating controls</v>
      </c>
      <c r="K23" s="8" t="str">
        <f>'Management Actions'!C5</f>
        <v>Operations</v>
      </c>
      <c r="L23" s="8" t="str">
        <f>'Management Actions'!D5</f>
        <v>30 Days</v>
      </c>
      <c r="M23" s="8" t="str">
        <f>'Management Actions'!E5</f>
        <v>Planned</v>
      </c>
      <c r="N23" s="8" t="str">
        <f>'Management Actions'!F5</f>
        <v>Audit control adherence</v>
      </c>
    </row>
    <row r="24" spans="1:14" ht="304">
      <c r="A24" s="21"/>
      <c r="B24" s="21"/>
      <c r="C24" s="21"/>
      <c r="D24" s="21"/>
      <c r="E24" s="21"/>
      <c r="F24" s="21"/>
      <c r="G24" s="21"/>
      <c r="I24" s="8" t="str">
        <f>'Management Actions'!A6</f>
        <v>5</v>
      </c>
      <c r="J24" s="8" t="str">
        <f>'Management Actions'!B6</f>
        <v>Transition stable controls to BAU</v>
      </c>
      <c r="K24" s="8" t="str">
        <f>'Management Actions'!C6</f>
        <v>Leadership</v>
      </c>
      <c r="L24" s="8" t="str">
        <f>'Management Actions'!D6</f>
        <v>90 Days</v>
      </c>
      <c r="M24" s="8" t="str">
        <f>'Management Actions'!E6</f>
        <v>Planned</v>
      </c>
      <c r="N24" s="8" t="str">
        <f>'Management Actions'!F6</f>
        <v>Approve governance cadence</v>
      </c>
    </row>
    <row r="25" spans="1:14">
      <c r="A25" s="21"/>
      <c r="B25" s="21"/>
      <c r="C25" s="21"/>
      <c r="D25" s="21"/>
      <c r="E25" s="21"/>
      <c r="F25" s="21"/>
      <c r="G25" s="21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26" customWidth="1"/>
    <col min="2" max="2" width="11.83203125" customWidth="1"/>
    <col min="3" max="3" width="13" customWidth="1"/>
    <col min="4" max="4" width="18.5" customWidth="1"/>
    <col min="5" max="5" width="14.5" customWidth="1"/>
    <col min="6" max="6" width="11.6640625" customWidth="1"/>
    <col min="7" max="7" width="12.83203125" customWidth="1"/>
    <col min="8" max="8" width="13.1640625" customWidth="1"/>
  </cols>
  <sheetData>
    <row r="1" spans="1:8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>
      <c r="A2" t="s">
        <v>13</v>
      </c>
      <c r="B2" s="1">
        <v>0.72</v>
      </c>
      <c r="C2" s="1">
        <v>0.92</v>
      </c>
      <c r="D2" s="1">
        <v>0.94</v>
      </c>
      <c r="E2" t="s">
        <v>14</v>
      </c>
      <c r="F2" s="1">
        <f t="shared" ref="F2:F7" si="0">IF(E2="higher",D2-C2,C2-D2)</f>
        <v>1.9999999999999907E-2</v>
      </c>
      <c r="G2" s="2">
        <f t="shared" ref="G2:G7" si="1">IF(E2="higher",MIN(D2/C2,1),IF(D2&lt;=C2,1,C2/D2))</f>
        <v>1</v>
      </c>
      <c r="H2" t="str">
        <f t="shared" ref="H2:H7" si="2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1">
        <v>0.61</v>
      </c>
      <c r="C3" s="1">
        <v>0.85</v>
      </c>
      <c r="D3" s="1">
        <v>0.87</v>
      </c>
      <c r="E3" t="s">
        <v>14</v>
      </c>
      <c r="F3" s="1">
        <f t="shared" si="0"/>
        <v>2.0000000000000018E-2</v>
      </c>
      <c r="G3" s="2">
        <f t="shared" si="1"/>
        <v>1</v>
      </c>
      <c r="H3" t="str">
        <f t="shared" si="2"/>
        <v>ON TRACK</v>
      </c>
    </row>
    <row r="4" spans="1:8">
      <c r="A4" t="s">
        <v>16</v>
      </c>
      <c r="B4" s="3">
        <v>18</v>
      </c>
      <c r="C4" s="3">
        <v>10</v>
      </c>
      <c r="D4" s="3">
        <v>9</v>
      </c>
      <c r="E4" t="s">
        <v>17</v>
      </c>
      <c r="F4" s="3">
        <f t="shared" si="0"/>
        <v>1</v>
      </c>
      <c r="G4" s="2">
        <f t="shared" si="1"/>
        <v>1</v>
      </c>
      <c r="H4" t="str">
        <f t="shared" si="2"/>
        <v>ON TRACK</v>
      </c>
    </row>
    <row r="5" spans="1:8">
      <c r="A5" t="s">
        <v>18</v>
      </c>
      <c r="B5" s="1">
        <v>0.68</v>
      </c>
      <c r="C5" s="1">
        <v>0.95</v>
      </c>
      <c r="D5" s="1">
        <v>0.97</v>
      </c>
      <c r="E5" t="s">
        <v>14</v>
      </c>
      <c r="F5" s="1">
        <f t="shared" si="0"/>
        <v>2.0000000000000018E-2</v>
      </c>
      <c r="G5" s="2">
        <f t="shared" si="1"/>
        <v>1</v>
      </c>
      <c r="H5" t="str">
        <f t="shared" si="2"/>
        <v>ON TRACK</v>
      </c>
    </row>
    <row r="6" spans="1:8">
      <c r="A6" t="s">
        <v>19</v>
      </c>
      <c r="B6" s="4">
        <v>3.8</v>
      </c>
      <c r="C6" s="4">
        <v>4.5</v>
      </c>
      <c r="D6" s="4">
        <v>4.5999999999999996</v>
      </c>
      <c r="E6" t="s">
        <v>14</v>
      </c>
      <c r="F6" s="4">
        <f t="shared" si="0"/>
        <v>9.9999999999999645E-2</v>
      </c>
      <c r="G6" s="2">
        <f t="shared" si="1"/>
        <v>1</v>
      </c>
      <c r="H6" t="str">
        <f t="shared" si="2"/>
        <v>ON TRACK</v>
      </c>
    </row>
    <row r="7" spans="1:8">
      <c r="A7" t="s">
        <v>20</v>
      </c>
      <c r="B7" s="1">
        <v>0.19</v>
      </c>
      <c r="C7" s="1">
        <v>0.08</v>
      </c>
      <c r="D7" s="1">
        <v>7.0000000000000007E-2</v>
      </c>
      <c r="E7" t="s">
        <v>17</v>
      </c>
      <c r="F7" s="1">
        <f t="shared" si="0"/>
        <v>9.999999999999995E-3</v>
      </c>
      <c r="G7" s="2">
        <f t="shared" si="1"/>
        <v>1</v>
      </c>
      <c r="H7" t="str">
        <f t="shared" si="2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baseColWidth="10" defaultColWidth="8.83203125" defaultRowHeight="15"/>
  <cols>
    <col min="1" max="1" width="9.33203125" customWidth="1"/>
    <col min="2" max="2" width="32.6640625" customWidth="1"/>
    <col min="3" max="3" width="22.1640625" customWidth="1"/>
    <col min="4" max="4" width="16.1640625" customWidth="1"/>
    <col min="5" max="5" width="10.6640625" customWidth="1"/>
    <col min="6" max="6" width="35.1640625" customWidth="1"/>
  </cols>
  <sheetData>
    <row r="1" spans="1: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2026-09-11T02:58:29Z</dcterms:modified>
</cp:coreProperties>
</file>