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eeca33566444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ekly_Data" sheetId="1" r:id="R2328f3ee22254557"/>
    <x:sheet xmlns:r="http://schemas.openxmlformats.org/officeDocument/2006/relationships" name="Executive_Dashboard" sheetId="2" r:id="Re691c94930194b91"/>
    <x:sheet xmlns:r="http://schemas.openxmlformats.org/officeDocument/2006/relationships" name="Cohort_Health" sheetId="3" r:id="R555be390516946e4"/>
    <x:sheet xmlns:r="http://schemas.openxmlformats.org/officeDocument/2006/relationships" name="Day1_Readiness" sheetId="4" r:id="Rbbc75cf6301344e0"/>
    <x:sheet xmlns:r="http://schemas.openxmlformats.org/officeDocument/2006/relationships" name="Manager_Checkins" sheetId="5" r:id="Re329b2f432aa40d7"/>
    <x:sheet xmlns:r="http://schemas.openxmlformats.org/officeDocument/2006/relationships" name="Training_Readiness" sheetId="6" r:id="R3223a86be46c459d"/>
    <x:sheet xmlns:r="http://schemas.openxmlformats.org/officeDocument/2006/relationships" name="SLA_Exceptions" sheetId="7" r:id="R1ff38faeed0a4ad2"/>
    <x:sheet xmlns:r="http://schemas.openxmlformats.org/officeDocument/2006/relationships" name="Action_Plan" sheetId="8" r:id="Rd7da96886d27473d"/>
    <x:sheet xmlns:r="http://schemas.openxmlformats.org/officeDocument/2006/relationships" name="Process_Risk_Register" sheetId="9" r:id="R72df02cd7f964434"/>
    <x:sheet xmlns:r="http://schemas.openxmlformats.org/officeDocument/2006/relationships" name="Employee_Feedback" sheetId="10" r:id="R23729ca53cd34c45"/>
    <x:sheet xmlns:r="http://schemas.openxmlformats.org/officeDocument/2006/relationships" name="Control_Log" sheetId="11" r:id="Rd5d1a24c5d6f48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1cc76f73384c2c" /><Relationship Type="http://schemas.openxmlformats.org/officeDocument/2006/relationships/theme" Target="/xl/theme/theme1.xml" Id="Ra00371e06b484270" /><Relationship Type="http://schemas.openxmlformats.org/officeDocument/2006/relationships/sharedStrings" Target="/xl/sharedStrings.xml" Id="R67ce5e12a75941e8" /><Relationship Type="http://schemas.openxmlformats.org/officeDocument/2006/relationships/worksheet" Target="/xl/worksheets/sheet1.xml" Id="R2328f3ee22254557" /><Relationship Type="http://schemas.openxmlformats.org/officeDocument/2006/relationships/worksheet" Target="/xl/worksheets/sheet2.xml" Id="Re691c94930194b91" /><Relationship Type="http://schemas.openxmlformats.org/officeDocument/2006/relationships/worksheet" Target="/xl/worksheets/sheet3.xml" Id="R555be390516946e4" /><Relationship Type="http://schemas.openxmlformats.org/officeDocument/2006/relationships/worksheet" Target="/xl/worksheets/sheet4.xml" Id="Rbbc75cf6301344e0" /><Relationship Type="http://schemas.openxmlformats.org/officeDocument/2006/relationships/worksheet" Target="/xl/worksheets/sheet5.xml" Id="Re329b2f432aa40d7" /><Relationship Type="http://schemas.openxmlformats.org/officeDocument/2006/relationships/worksheet" Target="/xl/worksheets/sheet6.xml" Id="R3223a86be46c459d" /><Relationship Type="http://schemas.openxmlformats.org/officeDocument/2006/relationships/worksheet" Target="/xl/worksheets/sheet7.xml" Id="R1ff38faeed0a4ad2" /><Relationship Type="http://schemas.openxmlformats.org/officeDocument/2006/relationships/worksheet" Target="/xl/worksheets/sheet8.xml" Id="Rd7da96886d27473d" /><Relationship Type="http://schemas.openxmlformats.org/officeDocument/2006/relationships/worksheet" Target="/xl/worksheets/sheet9.xml" Id="R72df02cd7f964434" /><Relationship Type="http://schemas.openxmlformats.org/officeDocument/2006/relationships/worksheet" Target="/xl/worksheets/sheet10.xml" Id="R23729ca53cd34c45" /><Relationship Type="http://schemas.openxmlformats.org/officeDocument/2006/relationships/worksheet" Target="/xl/worksheets/sheet11.xml" Id="Rd5d1a24c5d6f48c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8a48863d1b746f1" /><Relationship Type="http://schemas.openxmlformats.org/officeDocument/2006/relationships/chart" Target="/xl/drawings/charts/chart2.xml" Id="R3c75268a55d647b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Day-1 Readiness Trend</a:t>
            </a:r>
          </a:p>
        </c:rich>
      </c:tx>
    </c:title>
    <c:plotArea>
      <c:lineChart>
        <c:grouping val="standard"/>
        <c:ser>
          <c:idx val="0"/>
          <c:order val="0"/>
          <c:tx>
            <c:v>Series 1</c:v>
          </c:tx>
          <c:marker>
            <c:symbol val="none"/>
          </c:marker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Day-1 Readiness</c:v>
          </c:tx>
          <c:marker>
            <c:symbol val="none"/>
          </c:marker>
          <c:cat>
            <c:strRef>
              <c:f>'Weekly_Data'!$A$2:$A$13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'Weekly_Data'!$C$2:$C$13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90-Day Retention Trend</a:t>
            </a:r>
          </a:p>
        </c:rich>
      </c:tx>
    </c:title>
    <c:plotArea>
      <c:lineChart>
        <c:grouping val="standard"/>
        <c:ser>
          <c:idx val="0"/>
          <c:order val="0"/>
          <c:tx>
            <c:v>Series 1</c:v>
          </c:tx>
          <c:marker>
            <c:symbol val="none"/>
          </c:marker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90-Day Retention</c:v>
          </c:tx>
          <c:marker>
            <c:symbol val="none"/>
          </c:marker>
          <c:cat>
            <c:strRef>
              <c:f>'Weekly_Data'!$A$2:$A$13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'Weekly_Data'!$I$2:$I$13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22</xdr:row>
      <xdr:rowOff>0</xdr:rowOff>
    </xdr:from>
    <xdr:to>
      <xdr:col>6</xdr:col>
      <xdr:colOff>0</xdr:colOff>
      <xdr:row>37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8a48863d1b746f1"/>
        </a:graphicData>
      </a:graphic>
    </xdr:graphicFrame>
    <xdr:clientData/>
  </xdr:twoCellAnchor>
  <xdr:twoCellAnchor>
    <xdr:from>
      <xdr:col>6</xdr:col>
      <xdr:colOff>0</xdr:colOff>
      <xdr:row>22</xdr:row>
      <xdr:rowOff>0</xdr:rowOff>
    </xdr:from>
    <xdr:to>
      <xdr:col>12</xdr:col>
      <xdr:colOff>0</xdr:colOff>
      <xdr:row>37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c75268a55d647b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fe4dc783019144ac" /></Relationships>
</file>

<file path=xl/worksheets/sheet1.xml><?xml version="1.0" encoding="utf-8"?>
<x:worksheet xmlns:x="http://schemas.openxmlformats.org/spreadsheetml/2006/main">
  <x:sheetFormatPr defaultRowHeight="15"/>
  <x:cols>
    <x:col min="1" max="1" width="4.880000114440918" hidden="0" customWidth="1"/>
    <x:col min="2" max="2" width="8.130000114440918" hidden="0" customWidth="1"/>
    <x:col min="3" max="3" width="14.380000114440918" hidden="0" customWidth="1"/>
    <x:col min="4" max="4" width="20.1299991607666" hidden="0" customWidth="1"/>
    <x:col min="5" max="5" width="17.25" hidden="0" customWidth="1"/>
    <x:col min="6" max="6" width="21.3799991607666" hidden="0" customWidth="1"/>
    <x:col min="7" max="7" width="19" hidden="0" customWidth="1"/>
    <x:col min="8" max="8" width="16.5" hidden="0" customWidth="1"/>
    <x:col min="9" max="9" width="15.130000114440918" hidden="0" customWidth="1"/>
    <x:col min="10" max="10" width="16.8799991607666" hidden="0" customWidth="1"/>
    <x:col min="11" max="11" width="18" hidden="0" customWidth="1"/>
    <x:col min="12" max="12" width="16.1299991607666" hidden="0" customWidth="1"/>
  </x:cols>
  <x:sheetData>
    <x:row r="1">
      <x:c r="A1" s="6" t="str">
        <x:v>Week</x:v>
      </x:c>
      <x:c r="B1" s="12" t="str">
        <x:v>New Hires</x:v>
      </x:c>
      <x:c r="C1" s="12" t="str">
        <x:v>Day-1 Readiness %</x:v>
      </x:c>
      <x:c r="D1" s="12" t="str">
        <x:v>Onboarding Completion %</x:v>
      </x:c>
      <x:c r="E1" s="12" t="str">
        <x:v>Training Completion %</x:v>
      </x:c>
      <x:c r="F1" s="12" t="str">
        <x:v>30-Day Manager Check-In %</x:v>
      </x:c>
      <x:c r="G1" s="12" t="str">
        <x:v>90-Day Role Readiness %</x:v>
      </x:c>
      <x:c r="H1" s="12" t="str">
        <x:v>New-Hire Satisfaction</x:v>
      </x:c>
      <x:c r="I1" s="12" t="str">
        <x:v>90-Day Retention %</x:v>
      </x:c>
      <x:c r="J1" s="12" t="str">
        <x:v>High Retention-Risk %</x:v>
      </x:c>
      <x:c r="K1" s="12" t="str">
        <x:v>Avg Access Delay Hours</x:v>
      </x:c>
      <x:c r="L1" s="12" t="str">
        <x:v>Open SLA Exceptions</x:v>
      </x:c>
    </x:row>
    <x:row r="2">
      <x:c r="A2" s="12" t="str">
        <x:v>W1</x:v>
      </x:c>
      <x:c r="B2" s="12" t="n">
        <x:v>42</x:v>
      </x:c>
      <x:c r="C2" s="28" t="n">
        <x:v>0.71</x:v>
      </x:c>
      <x:c r="D2" s="28" t="n">
        <x:v>0.78</x:v>
      </x:c>
      <x:c r="E2" s="28" t="n">
        <x:v>0.81</x:v>
      </x:c>
      <x:c r="F2" s="28" t="n">
        <x:v>0.66</x:v>
      </x:c>
      <x:c r="G2" s="28" t="n">
        <x:v>0.69</x:v>
      </x:c>
      <x:c r="H2" s="12" t="n">
        <x:v>3.7</x:v>
      </x:c>
      <x:c r="I2" s="28" t="n">
        <x:v>0.84</x:v>
      </x:c>
      <x:c r="J2" s="28" t="n">
        <x:v>0.18</x:v>
      </x:c>
      <x:c r="K2" s="12" t="n">
        <x:v>14.2</x:v>
      </x:c>
      <x:c r="L2" s="12" t="n">
        <x:v>18</x:v>
      </x:c>
    </x:row>
    <x:row r="3">
      <x:c r="A3" s="12" t="str">
        <x:v>W2</x:v>
      </x:c>
      <x:c r="B3" s="12" t="n">
        <x:v>39</x:v>
      </x:c>
      <x:c r="C3" s="28" t="n">
        <x:v>0.74</x:v>
      </x:c>
      <x:c r="D3" s="28" t="n">
        <x:v>0.8</x:v>
      </x:c>
      <x:c r="E3" s="28" t="n">
        <x:v>0.83</x:v>
      </x:c>
      <x:c r="F3" s="28" t="n">
        <x:v>0.69</x:v>
      </x:c>
      <x:c r="G3" s="28" t="n">
        <x:v>0.71</x:v>
      </x:c>
      <x:c r="H3" s="12" t="n">
        <x:v>3.8</x:v>
      </x:c>
      <x:c r="I3" s="28" t="n">
        <x:v>0.85</x:v>
      </x:c>
      <x:c r="J3" s="28" t="n">
        <x:v>0.17</x:v>
      </x:c>
      <x:c r="K3" s="12" t="n">
        <x:v>12.8</x:v>
      </x:c>
      <x:c r="L3" s="12" t="n">
        <x:v>16</x:v>
      </x:c>
    </x:row>
    <x:row r="4">
      <x:c r="A4" s="12" t="str">
        <x:v>W3</x:v>
      </x:c>
      <x:c r="B4" s="12" t="n">
        <x:v>44</x:v>
      </x:c>
      <x:c r="C4" s="28" t="n">
        <x:v>0.78</x:v>
      </x:c>
      <x:c r="D4" s="28" t="n">
        <x:v>0.83</x:v>
      </x:c>
      <x:c r="E4" s="28" t="n">
        <x:v>0.85</x:v>
      </x:c>
      <x:c r="F4" s="28" t="n">
        <x:v>0.73</x:v>
      </x:c>
      <x:c r="G4" s="28" t="n">
        <x:v>0.74</x:v>
      </x:c>
      <x:c r="H4" s="12" t="n">
        <x:v>3.9</x:v>
      </x:c>
      <x:c r="I4" s="28" t="n">
        <x:v>0.86</x:v>
      </x:c>
      <x:c r="J4" s="28" t="n">
        <x:v>0.16</x:v>
      </x:c>
      <x:c r="K4" s="12" t="n">
        <x:v>10.7</x:v>
      </x:c>
      <x:c r="L4" s="12" t="n">
        <x:v>14</x:v>
      </x:c>
    </x:row>
    <x:row r="5">
      <x:c r="A5" s="12" t="str">
        <x:v>W4</x:v>
      </x:c>
      <x:c r="B5" s="12" t="n">
        <x:v>46</x:v>
      </x:c>
      <x:c r="C5" s="28" t="n">
        <x:v>0.82</x:v>
      </x:c>
      <x:c r="D5" s="28" t="n">
        <x:v>0.86</x:v>
      </x:c>
      <x:c r="E5" s="28" t="n">
        <x:v>0.88</x:v>
      </x:c>
      <x:c r="F5" s="28" t="n">
        <x:v>0.77</x:v>
      </x:c>
      <x:c r="G5" s="28" t="n">
        <x:v>0.77</x:v>
      </x:c>
      <x:c r="H5" s="12" t="n">
        <x:v>4</x:v>
      </x:c>
      <x:c r="I5" s="28" t="n">
        <x:v>0.87</x:v>
      </x:c>
      <x:c r="J5" s="28" t="n">
        <x:v>0.14</x:v>
      </x:c>
      <x:c r="K5" s="12" t="n">
        <x:v>8.9</x:v>
      </x:c>
      <x:c r="L5" s="12" t="n">
        <x:v>12</x:v>
      </x:c>
    </x:row>
    <x:row r="6">
      <x:c r="A6" s="12" t="str">
        <x:v>W5</x:v>
      </x:c>
      <x:c r="B6" s="12" t="n">
        <x:v>41</x:v>
      </x:c>
      <x:c r="C6" s="28" t="n">
        <x:v>0.85</x:v>
      </x:c>
      <x:c r="D6" s="28" t="n">
        <x:v>0.88</x:v>
      </x:c>
      <x:c r="E6" s="28" t="n">
        <x:v>0.9</x:v>
      </x:c>
      <x:c r="F6" s="28" t="n">
        <x:v>0.81</x:v>
      </x:c>
      <x:c r="G6" s="28" t="n">
        <x:v>0.8</x:v>
      </x:c>
      <x:c r="H6" s="12" t="n">
        <x:v>4.1</x:v>
      </x:c>
      <x:c r="I6" s="28" t="n">
        <x:v>0.88</x:v>
      </x:c>
      <x:c r="J6" s="28" t="n">
        <x:v>0.13</x:v>
      </x:c>
      <x:c r="K6" s="12" t="n">
        <x:v>7.5</x:v>
      </x:c>
      <x:c r="L6" s="12" t="n">
        <x:v>10</x:v>
      </x:c>
    </x:row>
    <x:row r="7">
      <x:c r="A7" s="12" t="str">
        <x:v>W6</x:v>
      </x:c>
      <x:c r="B7" s="12" t="n">
        <x:v>48</x:v>
      </x:c>
      <x:c r="C7" s="28" t="n">
        <x:v>0.88</x:v>
      </x:c>
      <x:c r="D7" s="28" t="n">
        <x:v>0.9</x:v>
      </x:c>
      <x:c r="E7" s="28" t="n">
        <x:v>0.92</x:v>
      </x:c>
      <x:c r="F7" s="28" t="n">
        <x:v>0.84</x:v>
      </x:c>
      <x:c r="G7" s="28" t="n">
        <x:v>0.83</x:v>
      </x:c>
      <x:c r="H7" s="12" t="n">
        <x:v>4.2</x:v>
      </x:c>
      <x:c r="I7" s="28" t="n">
        <x:v>0.89</x:v>
      </x:c>
      <x:c r="J7" s="28" t="n">
        <x:v>0.12</x:v>
      </x:c>
      <x:c r="K7" s="12" t="n">
        <x:v>6.2</x:v>
      </x:c>
      <x:c r="L7" s="12" t="n">
        <x:v>9</x:v>
      </x:c>
    </x:row>
    <x:row r="8">
      <x:c r="A8" s="12" t="str">
        <x:v>W7</x:v>
      </x:c>
      <x:c r="B8" s="12" t="n">
        <x:v>45</x:v>
      </x:c>
      <x:c r="C8" s="28" t="n">
        <x:v>0.9</x:v>
      </x:c>
      <x:c r="D8" s="28" t="n">
        <x:v>0.92</x:v>
      </x:c>
      <x:c r="E8" s="28" t="n">
        <x:v>0.94</x:v>
      </x:c>
      <x:c r="F8" s="28" t="n">
        <x:v>0.87</x:v>
      </x:c>
      <x:c r="G8" s="28" t="n">
        <x:v>0.85</x:v>
      </x:c>
      <x:c r="H8" s="12" t="n">
        <x:v>4.3</x:v>
      </x:c>
      <x:c r="I8" s="28" t="n">
        <x:v>0.9</x:v>
      </x:c>
      <x:c r="J8" s="28" t="n">
        <x:v>0.1</x:v>
      </x:c>
      <x:c r="K8" s="12" t="n">
        <x:v>5.1</x:v>
      </x:c>
      <x:c r="L8" s="12" t="n">
        <x:v>7</x:v>
      </x:c>
    </x:row>
    <x:row r="9">
      <x:c r="A9" s="12" t="str">
        <x:v>W8</x:v>
      </x:c>
      <x:c r="B9" s="12" t="n">
        <x:v>50</x:v>
      </x:c>
      <x:c r="C9" s="28" t="n">
        <x:v>0.92</x:v>
      </x:c>
      <x:c r="D9" s="28" t="n">
        <x:v>0.93</x:v>
      </x:c>
      <x:c r="E9" s="28" t="n">
        <x:v>0.95</x:v>
      </x:c>
      <x:c r="F9" s="28" t="n">
        <x:v>0.89</x:v>
      </x:c>
      <x:c r="G9" s="28" t="n">
        <x:v>0.87</x:v>
      </x:c>
      <x:c r="H9" s="12" t="n">
        <x:v>4.4</x:v>
      </x:c>
      <x:c r="I9" s="28" t="n">
        <x:v>0.91</x:v>
      </x:c>
      <x:c r="J9" s="28" t="n">
        <x:v>0.09</x:v>
      </x:c>
      <x:c r="K9" s="12" t="n">
        <x:v>4.3</x:v>
      </x:c>
      <x:c r="L9" s="12" t="n">
        <x:v>6</x:v>
      </x:c>
    </x:row>
    <x:row r="10">
      <x:c r="A10" s="12" t="str">
        <x:v>W9</x:v>
      </x:c>
      <x:c r="B10" s="12" t="n">
        <x:v>47</x:v>
      </x:c>
      <x:c r="C10" s="28" t="n">
        <x:v>0.94</x:v>
      </x:c>
      <x:c r="D10" s="28" t="n">
        <x:v>0.95</x:v>
      </x:c>
      <x:c r="E10" s="28" t="n">
        <x:v>0.96</x:v>
      </x:c>
      <x:c r="F10" s="28" t="n">
        <x:v>0.92</x:v>
      </x:c>
      <x:c r="G10" s="28" t="n">
        <x:v>0.89</x:v>
      </x:c>
      <x:c r="H10" s="12" t="n">
        <x:v>4.5</x:v>
      </x:c>
      <x:c r="I10" s="28" t="n">
        <x:v>0.93</x:v>
      </x:c>
      <x:c r="J10" s="28" t="n">
        <x:v>0.08</x:v>
      </x:c>
      <x:c r="K10" s="12" t="n">
        <x:v>3.5</x:v>
      </x:c>
      <x:c r="L10" s="12" t="n">
        <x:v>5</x:v>
      </x:c>
    </x:row>
    <x:row r="11">
      <x:c r="A11" s="12" t="str">
        <x:v>W10</x:v>
      </x:c>
      <x:c r="B11" s="12" t="n">
        <x:v>52</x:v>
      </x:c>
      <x:c r="C11" s="28" t="n">
        <x:v>0.96</x:v>
      </x:c>
      <x:c r="D11" s="28" t="n">
        <x:v>0.96</x:v>
      </x:c>
      <x:c r="E11" s="28" t="n">
        <x:v>0.97</x:v>
      </x:c>
      <x:c r="F11" s="28" t="n">
        <x:v>0.95</x:v>
      </x:c>
      <x:c r="G11" s="28" t="n">
        <x:v>0.9</x:v>
      </x:c>
      <x:c r="H11" s="12" t="n">
        <x:v>4.5</x:v>
      </x:c>
      <x:c r="I11" s="28" t="n">
        <x:v>0.94</x:v>
      </x:c>
      <x:c r="J11" s="28" t="n">
        <x:v>0.07</x:v>
      </x:c>
      <x:c r="K11" s="12" t="n">
        <x:v>2.8</x:v>
      </x:c>
      <x:c r="L11" s="12" t="n">
        <x:v>4</x:v>
      </x:c>
    </x:row>
    <x:row r="12">
      <x:c r="A12" s="12" t="str">
        <x:v>W11</x:v>
      </x:c>
      <x:c r="B12" s="12" t="n">
        <x:v>49</x:v>
      </x:c>
      <x:c r="C12" s="28" t="n">
        <x:v>0.97</x:v>
      </x:c>
      <x:c r="D12" s="28" t="n">
        <x:v>0.97</x:v>
      </x:c>
      <x:c r="E12" s="28" t="n">
        <x:v>0.98</x:v>
      </x:c>
      <x:c r="F12" s="28" t="n">
        <x:v>0.96</x:v>
      </x:c>
      <x:c r="G12" s="28" t="n">
        <x:v>0.91</x:v>
      </x:c>
      <x:c r="H12" s="12" t="n">
        <x:v>4.6</x:v>
      </x:c>
      <x:c r="I12" s="28" t="n">
        <x:v>0.94</x:v>
      </x:c>
      <x:c r="J12" s="28" t="n">
        <x:v>0.07</x:v>
      </x:c>
      <x:c r="K12" s="12" t="n">
        <x:v>2.4</x:v>
      </x:c>
      <x:c r="L12" s="12" t="n">
        <x:v>3</x:v>
      </x:c>
    </x:row>
    <x:row r="13">
      <x:c r="A13" s="12" t="str">
        <x:v>W12</x:v>
      </x:c>
      <x:c r="B13" s="12" t="n">
        <x:v>53</x:v>
      </x:c>
      <x:c r="C13" s="28" t="n">
        <x:v>0.97</x:v>
      </x:c>
      <x:c r="D13" s="28" t="n">
        <x:v>0.97</x:v>
      </x:c>
      <x:c r="E13" s="28" t="n">
        <x:v>0.98</x:v>
      </x:c>
      <x:c r="F13" s="28" t="n">
        <x:v>0.96</x:v>
      </x:c>
      <x:c r="G13" s="28" t="n">
        <x:v>0.92</x:v>
      </x:c>
      <x:c r="H13" s="12" t="n">
        <x:v>4.6</x:v>
      </x:c>
      <x:c r="I13" s="28" t="n">
        <x:v>0.95</x:v>
      </x:c>
      <x:c r="J13" s="28" t="n">
        <x:v>0.06</x:v>
      </x:c>
      <x:c r="K13" s="12" t="n">
        <x:v>2</x:v>
      </x:c>
      <x:c r="L13" s="12" t="n">
        <x:v>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5" hidden="0" customWidth="1"/>
    <x:col min="5" max="5" width="17" hidden="0" customWidth="1"/>
    <x:col min="6" max="6" width="17" hidden="0" customWidth="1"/>
    <x:col min="7" max="7" width="17" hidden="0" customWidth="1"/>
    <x:col min="8" max="8" width="16" hidden="0" customWidth="1"/>
    <x:col min="9" max="9" width="17" hidden="0" customWidth="1"/>
    <x:col min="10" max="10" width="17" hidden="0" customWidth="1"/>
    <x:col min="11" max="11" width="17" hidden="0" customWidth="1"/>
    <x:col min="12" max="12" width="28" hidden="0" customWidth="1"/>
  </x:cols>
  <x:sheetData>
    <x:row r="1">
      <x:c r="A1" s="17" t="str">
        <x:v>PEOPLE OPERATIONS | ONBOARDING &amp; RETENTION EXECUTIVE REVIEW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</x:row>
    <x:row r="2">
      <x:c r="A2" s="17"/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</x:row>
    <x:row r="4">
      <x:c r="A4" s="6" t="str">
        <x:v>KPI</x:v>
      </x:c>
      <x:c r="B4" s="6" t="str">
        <x:v>Baseline</x:v>
      </x:c>
      <x:c r="C4" s="6" t="str">
        <x:v>Target</x:v>
      </x:c>
      <x:c r="D4" s="6" t="str">
        <x:v>Current</x:v>
      </x:c>
      <x:c r="E4" s="6" t="str">
        <x:v>Variance to Target</x:v>
      </x:c>
      <x:c r="F4" s="6" t="str">
        <x:v>Attainment</x:v>
      </x:c>
      <x:c r="G4" s="6" t="str">
        <x:v>Trend vs W1</x:v>
      </x:c>
      <x:c r="H4" s="6" t="str">
        <x:v>Health</x:v>
      </x:c>
    </x:row>
    <x:row r="5">
      <x:c r="A5" t="str">
        <x:v>Day-1 Readiness %</x:v>
      </x:c>
      <x:c r="B5" s="26" t="n">
        <x:v>0.71</x:v>
      </x:c>
      <x:c r="C5" s="26" t="n">
        <x:v>0.96</x:v>
      </x:c>
      <x:c r="D5" s="26" t="n">
        <x:f>Weekly_Data!C13</x:f>
        <x:v>0.97</x:v>
      </x:c>
      <x:c r="E5" s="26" t="n">
        <x:f>D5-C5</x:f>
        <x:v>0.010000000000000009</x:v>
      </x:c>
      <x:c r="F5" s="26" t="n">
        <x:f>MIN(D5/C5,1)</x:f>
        <x:v>1</x:v>
      </x:c>
      <x:c r="G5" t="n">
        <x:f>D5-B5</x:f>
        <x:v>0.26</x:v>
      </x:c>
      <x:c r="H5" t="str">
        <x:f>IF(D5&gt;=C5,"ON TRACK",IF(D5&gt;=C5*0.95,"AT RISK","OFF TRACK"))</x:f>
        <x:v>ON TRACK</x:v>
      </x:c>
    </x:row>
    <x:row r="6">
      <x:c r="A6" t="str">
        <x:v>Onboarding Completion %</x:v>
      </x:c>
      <x:c r="B6" s="26" t="n">
        <x:v>0.78</x:v>
      </x:c>
      <x:c r="C6" s="26" t="n">
        <x:v>0.96</x:v>
      </x:c>
      <x:c r="D6" s="26" t="n">
        <x:f>Weekly_Data!D13</x:f>
        <x:v>0.97</x:v>
      </x:c>
      <x:c r="E6" s="26" t="n">
        <x:f>D6-C6</x:f>
        <x:v>0.010000000000000009</x:v>
      </x:c>
      <x:c r="F6" s="26" t="n">
        <x:f>MIN(D6/C6,1)</x:f>
        <x:v>1</x:v>
      </x:c>
      <x:c r="G6" t="n">
        <x:f>D6-B6</x:f>
        <x:v>0.18999999999999995</x:v>
      </x:c>
      <x:c r="H6" t="str">
        <x:f>IF(D6&gt;=C6,"ON TRACK",IF(D6&gt;=C6*0.95,"AT RISK","OFF TRACK"))</x:f>
        <x:v>ON TRACK</x:v>
      </x:c>
    </x:row>
    <x:row r="7">
      <x:c r="A7" t="str">
        <x:v>Training Completion %</x:v>
      </x:c>
      <x:c r="B7" s="26" t="n">
        <x:v>0.81</x:v>
      </x:c>
      <x:c r="C7" s="26" t="n">
        <x:v>0.97</x:v>
      </x:c>
      <x:c r="D7" s="26" t="n">
        <x:f>Weekly_Data!E13</x:f>
        <x:v>0.98</x:v>
      </x:c>
      <x:c r="E7" s="26" t="n">
        <x:f>D7-C7</x:f>
        <x:v>0.010000000000000009</x:v>
      </x:c>
      <x:c r="F7" s="26" t="n">
        <x:f>MIN(D7/C7,1)</x:f>
        <x:v>1</x:v>
      </x:c>
      <x:c r="G7" t="n">
        <x:f>D7-B7</x:f>
        <x:v>0.16999999999999993</x:v>
      </x:c>
      <x:c r="H7" t="str">
        <x:f>IF(D7&gt;=C7,"ON TRACK",IF(D7&gt;=C7*0.95,"AT RISK","OFF TRACK"))</x:f>
        <x:v>ON TRACK</x:v>
      </x:c>
    </x:row>
    <x:row r="8">
      <x:c r="A8" t="str">
        <x:v>30-Day Manager Check-In %</x:v>
      </x:c>
      <x:c r="B8" s="26" t="n">
        <x:v>0.66</x:v>
      </x:c>
      <x:c r="C8" s="26" t="n">
        <x:v>0.95</x:v>
      </x:c>
      <x:c r="D8" s="26" t="n">
        <x:f>Weekly_Data!F13</x:f>
        <x:v>0.96</x:v>
      </x:c>
      <x:c r="E8" s="26" t="n">
        <x:f>D8-C8</x:f>
        <x:v>0.010000000000000009</x:v>
      </x:c>
      <x:c r="F8" s="26" t="n">
        <x:f>MIN(D8/C8,1)</x:f>
        <x:v>1</x:v>
      </x:c>
      <x:c r="G8" t="n">
        <x:f>D8-B8</x:f>
        <x:v>0.29999999999999993</x:v>
      </x:c>
      <x:c r="H8" t="str">
        <x:f>IF(D8&gt;=C8,"ON TRACK",IF(D8&gt;=C8*0.95,"AT RISK","OFF TRACK"))</x:f>
        <x:v>ON TRACK</x:v>
      </x:c>
    </x:row>
    <x:row r="9">
      <x:c r="A9" t="str">
        <x:v>90-Day Role Readiness %</x:v>
      </x:c>
      <x:c r="B9" s="26" t="n">
        <x:v>0.69</x:v>
      </x:c>
      <x:c r="C9" s="26" t="n">
        <x:v>0.9</x:v>
      </x:c>
      <x:c r="D9" s="26" t="n">
        <x:f>Weekly_Data!G13</x:f>
        <x:v>0.92</x:v>
      </x:c>
      <x:c r="E9" s="26" t="n">
        <x:f>D9-C9</x:f>
        <x:v>0.020000000000000018</x:v>
      </x:c>
      <x:c r="F9" s="26" t="n">
        <x:f>MIN(D9/C9,1)</x:f>
        <x:v>1</x:v>
      </x:c>
      <x:c r="G9" t="n">
        <x:f>D9-B9</x:f>
        <x:v>0.2300000000000001</x:v>
      </x:c>
      <x:c r="H9" t="str">
        <x:f>IF(D9&gt;=C9,"ON TRACK",IF(D9&gt;=C9*0.95,"AT RISK","OFF TRACK"))</x:f>
        <x:v>ON TRACK</x:v>
      </x:c>
    </x:row>
    <x:row r="10">
      <x:c r="A10" t="str">
        <x:v>New-Hire Satisfaction</x:v>
      </x:c>
      <x:c r="B10" t="n">
        <x:v>3.7</x:v>
      </x:c>
      <x:c r="C10" t="n">
        <x:v>4.5</x:v>
      </x:c>
      <x:c r="D10" t="n">
        <x:f>Weekly_Data!H13</x:f>
        <x:v>4.6</x:v>
      </x:c>
      <x:c r="E10" t="n">
        <x:f>D10-C10</x:f>
        <x:v>0.09999999999999964</x:v>
      </x:c>
      <x:c r="F10" s="26" t="n">
        <x:f>MIN(D10/C10,1)</x:f>
        <x:v>1</x:v>
      </x:c>
      <x:c r="G10" t="n">
        <x:f>D10-B10</x:f>
        <x:v>0.8999999999999995</x:v>
      </x:c>
      <x:c r="H10" t="str">
        <x:f>IF(D10&gt;=C10,"ON TRACK",IF(D10&gt;=C10*0.97,"AT RISK","OFF TRACK"))</x:f>
        <x:v>ON TRACK</x:v>
      </x:c>
    </x:row>
    <x:row r="11">
      <x:c r="A11" t="str">
        <x:v>90-Day Retention %</x:v>
      </x:c>
      <x:c r="B11" s="26" t="n">
        <x:v>0.84</x:v>
      </x:c>
      <x:c r="C11" s="26" t="n">
        <x:v>0.94</x:v>
      </x:c>
      <x:c r="D11" s="26" t="n">
        <x:f>Weekly_Data!I13</x:f>
        <x:v>0.95</x:v>
      </x:c>
      <x:c r="E11" s="26" t="n">
        <x:f>D11-C11</x:f>
        <x:v>0.010000000000000009</x:v>
      </x:c>
      <x:c r="F11" s="26" t="n">
        <x:f>MIN(D11/C11,1)</x:f>
        <x:v>1</x:v>
      </x:c>
      <x:c r="G11" t="n">
        <x:f>D11-B11</x:f>
        <x:v>0.10999999999999999</x:v>
      </x:c>
      <x:c r="H11" t="str">
        <x:f>IF(D11&gt;=C11,"ON TRACK",IF(D11&gt;=C11*0.95,"AT RISK","OFF TRACK"))</x:f>
        <x:v>ON TRACK</x:v>
      </x:c>
    </x:row>
    <x:row r="12">
      <x:c r="A12" t="str">
        <x:v>High Retention-Risk %</x:v>
      </x:c>
      <x:c r="B12" s="26" t="n">
        <x:v>0.18</x:v>
      </x:c>
      <x:c r="C12" s="26" t="n">
        <x:v>0.07</x:v>
      </x:c>
      <x:c r="D12" s="26" t="n">
        <x:f>Weekly_Data!J13</x:f>
        <x:v>0.06</x:v>
      </x:c>
      <x:c r="E12" s="26" t="n">
        <x:f>C12-D12</x:f>
        <x:v>0.010000000000000009</x:v>
      </x:c>
      <x:c r="F12" s="26" t="n">
        <x:f>IF(D12&lt;=C12,1,C12/D12)</x:f>
        <x:v>1</x:v>
      </x:c>
      <x:c r="G12" t="n">
        <x:f>B12-D12</x:f>
        <x:v>0.12</x:v>
      </x:c>
      <x:c r="H12" t="str">
        <x:f>IF(D12&lt;=C12,"ON TRACK",IF(D12&lt;=C12*1.15,"AT RISK","OFF TRACK"))</x:f>
        <x:v>ON TRACK</x:v>
      </x:c>
    </x:row>
    <x:row r="15">
      <x:c r="A15" s="23" t="str">
        <x:v>EXECUTIVE COMMENTARY</x:v>
      </x:c>
      <x:c r="B15" s="23"/>
      <x:c r="C15" s="23"/>
      <x:c r="D15" s="23"/>
      <x:c r="E15" s="23"/>
      <x:c r="F15" s="23"/>
      <x:c r="H15" s="6" t="str">
        <x:v>TOP PRIORITIES</x:v>
      </x:c>
      <x:c r="I15" s="6" t="str">
        <x:v>Owner</x:v>
      </x:c>
      <x:c r="J15" s="6" t="str">
        <x:v>Due</x:v>
      </x:c>
      <x:c r="K15" s="6" t="str">
        <x:v>Status</x:v>
      </x:c>
      <x:c r="L15" s="6" t="str">
        <x:v>Management Response</x:v>
      </x:c>
    </x:row>
    <x:row r="16">
      <x:c r="A16" s="12" t="str">
        <x:v>WHAT HAPPENED: Modeled Week 12 met or exceeded all eight primary People Operations targets.
WHY: Day-1 readiness gates, cross-functional SLAs, standardized manager check-ins, role-readiness standards, and earlier employee feedback reduced process failures.
WHAT WE ARE DOING: Sustain manager accountability, audit readiness controls, monitor cohort experience, and close recurring cross-functional defects.
DECISION NEEDED: Approve transition to business-as-usual governance while retaining targeted review for weak cohorts/processes.</x:v>
      </x:c>
      <x:c r="B16" s="12"/>
      <x:c r="C16" s="12"/>
      <x:c r="D16" s="12"/>
      <x:c r="E16" s="12"/>
      <x:c r="F16" s="12"/>
      <x:c r="H16" t="str">
        <x:v>Protect Day-1 readiness</x:v>
      </x:c>
      <x:c r="I16" t="str">
        <x:v>People Ops</x:v>
      </x:c>
      <x:c r="J16" t="str">
        <x:v>W13</x:v>
      </x:c>
      <x:c r="K16" t="str">
        <x:v>In Progress</x:v>
      </x:c>
      <x:c r="L16" t="str">
        <x:v>Audit all upcoming starts</x:v>
      </x:c>
    </x:row>
    <x:row r="17">
      <x:c r="A17" s="12"/>
      <x:c r="B17" s="12"/>
      <x:c r="C17" s="12"/>
      <x:c r="D17" s="12"/>
      <x:c r="E17" s="12"/>
      <x:c r="F17" s="12"/>
      <x:c r="H17" t="str">
        <x:v>Sustain manager adherence</x:v>
      </x:c>
      <x:c r="I17" t="str">
        <x:v>HRBPs</x:v>
      </x:c>
      <x:c r="J17" t="str">
        <x:v>W13</x:v>
      </x:c>
      <x:c r="K17" t="str">
        <x:v>In Progress</x:v>
      </x:c>
      <x:c r="L17" t="str">
        <x:v>Coach repeat exceptions</x:v>
      </x:c>
    </x:row>
    <x:row r="18">
      <x:c r="A18" s="12"/>
      <x:c r="B18" s="12"/>
      <x:c r="C18" s="12"/>
      <x:c r="D18" s="12"/>
      <x:c r="E18" s="12"/>
      <x:c r="F18" s="12"/>
      <x:c r="H18" t="str">
        <x:v>Close SLA defects</x:v>
      </x:c>
      <x:c r="I18" t="str">
        <x:v>IT/Payroll</x:v>
      </x:c>
      <x:c r="J18" t="str">
        <x:v>W14</x:v>
      </x:c>
      <x:c r="K18" t="str">
        <x:v>In Progress</x:v>
      </x:c>
      <x:c r="L18" t="str">
        <x:v>Root-cause recurring failures</x:v>
      </x:c>
    </x:row>
    <x:row r="19">
      <x:c r="A19" s="12"/>
      <x:c r="B19" s="12"/>
      <x:c r="C19" s="12"/>
      <x:c r="D19" s="12"/>
      <x:c r="E19" s="12"/>
      <x:c r="F19" s="12"/>
      <x:c r="H19" t="str">
        <x:v>Validate retention gains</x:v>
      </x:c>
      <x:c r="I19" t="str">
        <x:v>People Analytics</x:v>
      </x:c>
      <x:c r="J19" t="str">
        <x:v>W14</x:v>
      </x:c>
      <x:c r="K19" t="str">
        <x:v>Planned</x:v>
      </x:c>
      <x:c r="L19" t="str">
        <x:v>Cohort review</x:v>
      </x:c>
    </x:row>
    <x:row r="20">
      <x:c r="A20" s="12"/>
      <x:c r="B20" s="12"/>
      <x:c r="C20" s="12"/>
      <x:c r="D20" s="12"/>
      <x:c r="E20" s="12"/>
      <x:c r="F20" s="12"/>
    </x:row>
  </x:sheetData>
  <x:mergeCells>
    <x:mergeCell ref="A1:L2"/>
    <x:mergeCell ref="A15:F15"/>
    <x:mergeCell ref="A16:F20"/>
  </x:mergeCells>
  <x:conditionalFormatting sqref="H5:H12">
    <x:cfRule type="expression" dxfId="0" priority="1">
      <x:formula>H5="ON TRACK"</x:formula>
    </x:cfRule>
    <x:cfRule type="expression" dxfId="1" priority="2">
      <x:formula>H5="AT RISK"</x:formula>
    </x:cfRule>
    <x:cfRule type="expression" dxfId="2" priority="3">
      <x:formula>H5="OFF TRACK"</x:formula>
    </x:cfRule>
  </x:conditionalFormatting>
  <x:conditionalFormatting sqref="F5:F12">
    <x:cfRule type="dataBar" priority="4">
      <x:dataBar>
        <x:cfvo type="min"/>
        <x:cfvo type="max"/>
        <x:color rgb="FF4472C4"/>
      </x:dataBar>
      <x:extLst>
        <x:ext xmlns:x14="http://schemas.microsoft.com/office/spreadsheetml/2009/9/main" uri="{B025F937-C7B1-47D3-B67F-A62EFF666E3E}">
          <x14:id>{E2B0229A-B8A0-18A0-91E7-8AEF68C0D762}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fe4dc783019144ac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E2B0229A-B8A0-18A0-91E7-8AEF68C0D762}">
            <x14:dataBar gradient="1">
              <x14:cfvo type="min"/>
              <x14:cfvo type="max"/>
              <x14:fillColor rgb="FF4472C4"/>
            </x14:dataBar>
          </x14:cfRule>
          <xm:sqref>F5:F12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4.5" hidden="0" customWidth="1"/>
    <x:col min="2" max="2" width="8.130000114440918" hidden="0" customWidth="1"/>
    <x:col min="3" max="3" width="9.25" hidden="0" customWidth="1"/>
    <x:col min="4" max="4" width="9.380000114440918" hidden="0" customWidth="1"/>
    <x:col min="5" max="5" width="6.5" hidden="0" customWidth="1"/>
    <x:col min="6" max="6" width="14" hidden="0" customWidth="1"/>
    <x:col min="7" max="7" width="8.75" hidden="0" customWidth="1"/>
    <x:col min="8" max="8" width="9.130000114440918" hidden="0" customWidth="1"/>
    <x:col min="9" max="9" width="13.5" hidden="0" customWidth="1"/>
    <x:col min="10" max="10" width="5.630000114440918" hidden="0" customWidth="1"/>
  </x:cols>
  <x:sheetData>
    <x:row r="1">
      <x:c r="A1" s="6" t="str">
        <x:v>Cohort</x:v>
      </x:c>
      <x:c r="B1" s="12" t="str">
        <x:v>New Hires</x:v>
      </x:c>
      <x:c r="C1" s="12" t="str">
        <x:v>Day1 Ready</x:v>
      </x:c>
      <x:c r="D1" s="12" t="str">
        <x:v>Onboarding</x:v>
      </x:c>
      <x:c r="E1" s="12" t="str">
        <x:v>Training</x:v>
      </x:c>
      <x:c r="F1" s="12" t="str">
        <x:v>Manager Check-In</x:v>
      </x:c>
      <x:c r="G1" s="12" t="str">
        <x:v>Role Ready</x:v>
      </x:c>
      <x:c r="H1" s="12" t="str">
        <x:v>Satisfaction</x:v>
      </x:c>
      <x:c r="I1" s="12" t="str">
        <x:v>90-Day Retention</x:v>
      </x:c>
      <x:c r="J1" s="12" t="str">
        <x:v>Health</x:v>
      </x:c>
    </x:row>
    <x:row r="2">
      <x:c r="A2" s="12" t="str">
        <x:v>Operations</x:v>
      </x:c>
      <x:c r="B2" s="12" t="n">
        <x:v>18</x:v>
      </x:c>
      <x:c r="C2" s="28" t="n">
        <x:v>0.98</x:v>
      </x:c>
      <x:c r="D2" s="28" t="n">
        <x:v>0.98</x:v>
      </x:c>
      <x:c r="E2" s="28" t="n">
        <x:v>0.99</x:v>
      </x:c>
      <x:c r="F2" s="28" t="n">
        <x:v>0.97</x:v>
      </x:c>
      <x:c r="G2" s="28" t="n">
        <x:v>0.94</x:v>
      </x:c>
      <x:c r="H2" s="12" t="n">
        <x:v>4.7</x:v>
      </x:c>
      <x:c r="I2" s="28" t="n">
        <x:v>0.96</x:v>
      </x:c>
      <x:c r="J2" s="12" t="str">
        <x:v>Green</x:v>
      </x:c>
    </x:row>
    <x:row r="3">
      <x:c r="A3" s="12" t="str">
        <x:v>Customer Support</x:v>
      </x:c>
      <x:c r="B3" s="12" t="n">
        <x:v>12</x:v>
      </x:c>
      <x:c r="C3" s="28" t="n">
        <x:v>0.97</x:v>
      </x:c>
      <x:c r="D3" s="28" t="n">
        <x:v>0.98</x:v>
      </x:c>
      <x:c r="E3" s="28" t="n">
        <x:v>0.98</x:v>
      </x:c>
      <x:c r="F3" s="28" t="n">
        <x:v>0.96</x:v>
      </x:c>
      <x:c r="G3" s="28" t="n">
        <x:v>0.93</x:v>
      </x:c>
      <x:c r="H3" s="12" t="n">
        <x:v>4.6</x:v>
      </x:c>
      <x:c r="I3" s="28" t="n">
        <x:v>0.95</x:v>
      </x:c>
      <x:c r="J3" s="12" t="str">
        <x:v>Green</x:v>
      </x:c>
    </x:row>
    <x:row r="4">
      <x:c r="A4" s="12" t="str">
        <x:v>Sales</x:v>
      </x:c>
      <x:c r="B4" s="12" t="n">
        <x:v>10</x:v>
      </x:c>
      <x:c r="C4" s="28" t="n">
        <x:v>0.95</x:v>
      </x:c>
      <x:c r="D4" s="28" t="n">
        <x:v>0.96</x:v>
      </x:c>
      <x:c r="E4" s="28" t="n">
        <x:v>0.97</x:v>
      </x:c>
      <x:c r="F4" s="28" t="n">
        <x:v>0.93</x:v>
      </x:c>
      <x:c r="G4" s="28" t="n">
        <x:v>0.89</x:v>
      </x:c>
      <x:c r="H4" s="12" t="n">
        <x:v>4.4</x:v>
      </x:c>
      <x:c r="I4" s="28" t="n">
        <x:v>0.92</x:v>
      </x:c>
      <x:c r="J4" s="12" t="str">
        <x:v>Amber</x:v>
      </x:c>
    </x:row>
    <x:row r="5">
      <x:c r="A5" s="12" t="str">
        <x:v>Technology</x:v>
      </x:c>
      <x:c r="B5" s="12" t="n">
        <x:v>7</x:v>
      </x:c>
      <x:c r="C5" s="28" t="n">
        <x:v>0.97</x:v>
      </x:c>
      <x:c r="D5" s="28" t="n">
        <x:v>0.97</x:v>
      </x:c>
      <x:c r="E5" s="28" t="n">
        <x:v>0.98</x:v>
      </x:c>
      <x:c r="F5" s="28" t="n">
        <x:v>0.96</x:v>
      </x:c>
      <x:c r="G5" s="28" t="n">
        <x:v>0.92</x:v>
      </x:c>
      <x:c r="H5" s="12" t="n">
        <x:v>4.6</x:v>
      </x:c>
      <x:c r="I5" s="28" t="n">
        <x:v>0.95</x:v>
      </x:c>
      <x:c r="J5" s="12" t="str">
        <x:v>Green</x:v>
      </x:c>
    </x:row>
    <x:row r="6">
      <x:c r="A6" s="12" t="str">
        <x:v>Corporate</x:v>
      </x:c>
      <x:c r="B6" s="12" t="n">
        <x:v>4</x:v>
      </x:c>
      <x:c r="C6" s="28" t="n">
        <x:v>1</x:v>
      </x:c>
      <x:c r="D6" s="28" t="n">
        <x:v>0.98</x:v>
      </x:c>
      <x:c r="E6" s="28" t="n">
        <x:v>1</x:v>
      </x:c>
      <x:c r="F6" s="28" t="n">
        <x:v>0.98</x:v>
      </x:c>
      <x:c r="G6" s="28" t="n">
        <x:v>0.94</x:v>
      </x:c>
      <x:c r="H6" s="12" t="n">
        <x:v>4.7</x:v>
      </x:c>
      <x:c r="I6" s="28" t="n">
        <x:v>1</x:v>
      </x:c>
      <x:c r="J6" s="12" t="str">
        <x:v>Green</x:v>
      </x:c>
    </x:row>
    <x:row r="7">
      <x:c r="A7" s="12" t="str">
        <x:v>High-Growth Team</x:v>
      </x:c>
      <x:c r="B7" s="12" t="n">
        <x:v>2</x:v>
      </x:c>
      <x:c r="C7" s="28" t="n">
        <x:v>0.88</x:v>
      </x:c>
      <x:c r="D7" s="28" t="n">
        <x:v>0.9</x:v>
      </x:c>
      <x:c r="E7" s="28" t="n">
        <x:v>0.92</x:v>
      </x:c>
      <x:c r="F7" s="28" t="n">
        <x:v>0.85</x:v>
      </x:c>
      <x:c r="G7" s="28" t="n">
        <x:v>0.82</x:v>
      </x:c>
      <x:c r="H7" s="12" t="n">
        <x:v>4.1</x:v>
      </x:c>
      <x:c r="I7" s="28" t="n">
        <x:v>0.86</x:v>
      </x:c>
      <x:c r="J7" s="12" t="str">
        <x:v>Red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.25" hidden="0" customWidth="1"/>
    <x:col min="2" max="2" width="9.630000114440918" hidden="0" customWidth="1"/>
    <x:col min="3" max="3" width="8.630000114440918" hidden="0" customWidth="1"/>
    <x:col min="4" max="4" width="11.880000114440918" hidden="0" customWidth="1"/>
    <x:col min="5" max="5" width="5.5" hidden="0" customWidth="1"/>
    <x:col min="6" max="6" width="10.880000114440918" hidden="0" customWidth="1"/>
    <x:col min="7" max="7" width="13.5" hidden="0" customWidth="1"/>
    <x:col min="8" max="8" width="10.630000114440918" hidden="0" customWidth="1"/>
    <x:col min="9" max="9" width="13.25" hidden="0" customWidth="1"/>
    <x:col min="10" max="10" width="5.630000114440918" hidden="0" customWidth="1"/>
  </x:cols>
  <x:sheetData>
    <x:row r="1">
      <x:c r="A1" s="6" t="str">
        <x:v>Start ID</x:v>
      </x:c>
      <x:c r="B1" s="12" t="str">
        <x:v>Department</x:v>
      </x:c>
      <x:c r="C1" s="12" t="str">
        <x:v>Equipment</x:v>
      </x:c>
      <x:c r="D1" s="12" t="str">
        <x:v>Identity/Access</x:v>
      </x:c>
      <x:c r="E1" s="12" t="str">
        <x:v>Payroll</x:v>
      </x:c>
      <x:c r="F1" s="12" t="str">
        <x:v>Manager Plan</x:v>
      </x:c>
      <x:c r="G1" s="12" t="str">
        <x:v>Training Assigned</x:v>
      </x:c>
      <x:c r="H1" s="12" t="str">
        <x:v>Critical Ready</x:v>
      </x:c>
      <x:c r="I1" s="12" t="str">
        <x:v>Exception Owner</x:v>
      </x:c>
      <x:c r="J1" s="12" t="str">
        <x:v>Status</x:v>
      </x:c>
    </x:row>
    <x:row r="2">
      <x:c r="A2" s="12" t="str">
        <x:v>NH-201</x:v>
      </x:c>
      <x:c r="B2" s="12" t="str">
        <x:v>Operations</x:v>
      </x:c>
      <x:c r="C2" s="12" t="str">
        <x:v>Ready</x:v>
      </x:c>
      <x:c r="D2" s="12" t="str">
        <x:v>Ready</x:v>
      </x:c>
      <x:c r="E2" s="12" t="str">
        <x:v>Ready</x:v>
      </x:c>
      <x:c r="F2" s="12" t="str">
        <x:v>Ready</x:v>
      </x:c>
      <x:c r="G2" s="12" t="str">
        <x:v>Ready</x:v>
      </x:c>
      <x:c r="H2" s="12" t="str">
        <x:v>Yes</x:v>
      </x:c>
      <x:c r="I2" s="12" t="str"/>
      <x:c r="J2" s="12" t="str">
        <x:v>Ready</x:v>
      </x:c>
    </x:row>
    <x:row r="3">
      <x:c r="A3" s="12" t="str">
        <x:v>NH-202</x:v>
      </x:c>
      <x:c r="B3" s="12" t="str">
        <x:v>Sales</x:v>
      </x:c>
      <x:c r="C3" s="12" t="str">
        <x:v>Ready</x:v>
      </x:c>
      <x:c r="D3" s="12" t="str">
        <x:v>Ready</x:v>
      </x:c>
      <x:c r="E3" s="12" t="str">
        <x:v>Ready</x:v>
      </x:c>
      <x:c r="F3" s="12" t="str">
        <x:v>Ready</x:v>
      </x:c>
      <x:c r="G3" s="12" t="str">
        <x:v>Ready</x:v>
      </x:c>
      <x:c r="H3" s="12" t="str">
        <x:v>Yes</x:v>
      </x:c>
      <x:c r="I3" s="12" t="str"/>
      <x:c r="J3" s="12" t="str">
        <x:v>Ready</x:v>
      </x:c>
    </x:row>
    <x:row r="4">
      <x:c r="A4" s="12" t="str">
        <x:v>NH-203</x:v>
      </x:c>
      <x:c r="B4" s="12" t="str">
        <x:v>Technology</x:v>
      </x:c>
      <x:c r="C4" s="12" t="str">
        <x:v>Ready</x:v>
      </x:c>
      <x:c r="D4" s="12" t="str">
        <x:v>Ready</x:v>
      </x:c>
      <x:c r="E4" s="12" t="str">
        <x:v>Ready</x:v>
      </x:c>
      <x:c r="F4" s="12" t="str">
        <x:v>Ready</x:v>
      </x:c>
      <x:c r="G4" s="12" t="str">
        <x:v>Ready</x:v>
      </x:c>
      <x:c r="H4" s="12" t="str">
        <x:v>Yes</x:v>
      </x:c>
      <x:c r="I4" s="12" t="str"/>
      <x:c r="J4" s="12" t="str">
        <x:v>Ready</x:v>
      </x:c>
    </x:row>
    <x:row r="5">
      <x:c r="A5" s="12" t="str">
        <x:v>NH-204</x:v>
      </x:c>
      <x:c r="B5" s="12" t="str">
        <x:v>Support</x:v>
      </x:c>
      <x:c r="C5" s="12" t="str">
        <x:v>Ready</x:v>
      </x:c>
      <x:c r="D5" s="12" t="str">
        <x:v>Ready</x:v>
      </x:c>
      <x:c r="E5" s="12" t="str">
        <x:v>Ready</x:v>
      </x:c>
      <x:c r="F5" s="12" t="str">
        <x:v>Ready</x:v>
      </x:c>
      <x:c r="G5" s="12" t="str">
        <x:v>Ready</x:v>
      </x:c>
      <x:c r="H5" s="12" t="str">
        <x:v>Yes</x:v>
      </x:c>
      <x:c r="I5" s="12" t="str"/>
      <x:c r="J5" s="12" t="str">
        <x:v>Ready</x:v>
      </x:c>
    </x:row>
    <x:row r="6">
      <x:c r="A6" s="12" t="str">
        <x:v>NH-205</x:v>
      </x:c>
      <x:c r="B6" s="12" t="str">
        <x:v>Sales</x:v>
      </x:c>
      <x:c r="C6" s="12" t="str">
        <x:v>Ready</x:v>
      </x:c>
      <x:c r="D6" s="12" t="str">
        <x:v>Pending</x:v>
      </x:c>
      <x:c r="E6" s="12" t="str">
        <x:v>Ready</x:v>
      </x:c>
      <x:c r="F6" s="12" t="str">
        <x:v>Ready</x:v>
      </x:c>
      <x:c r="G6" s="12" t="str">
        <x:v>Ready</x:v>
      </x:c>
      <x:c r="H6" s="12" t="str">
        <x:v>No</x:v>
      </x:c>
      <x:c r="I6" s="12" t="str">
        <x:v>IT</x:v>
      </x:c>
      <x:c r="J6" s="12" t="str">
        <x:v>At Risk</x:v>
      </x:c>
    </x:row>
    <x:row r="7">
      <x:c r="A7" s="12" t="str">
        <x:v>NH-206</x:v>
      </x:c>
      <x:c r="B7" s="12" t="str">
        <x:v>Operations</x:v>
      </x:c>
      <x:c r="C7" s="12" t="str">
        <x:v>Ready</x:v>
      </x:c>
      <x:c r="D7" s="12" t="str">
        <x:v>Ready</x:v>
      </x:c>
      <x:c r="E7" s="12" t="str">
        <x:v>Ready</x:v>
      </x:c>
      <x:c r="F7" s="12" t="str">
        <x:v>Pending</x:v>
      </x:c>
      <x:c r="G7" s="12" t="str">
        <x:v>Ready</x:v>
      </x:c>
      <x:c r="H7" s="12" t="str">
        <x:v>No</x:v>
      </x:c>
      <x:c r="I7" s="12" t="str">
        <x:v>Manager</x:v>
      </x:c>
      <x:c r="J7" s="12" t="str">
        <x:v>At Risk</x:v>
      </x:c>
    </x:row>
    <x:row r="8">
      <x:c r="A8" s="12" t="str">
        <x:v>NH-207</x:v>
      </x:c>
      <x:c r="B8" s="12" t="str">
        <x:v>Corporate</x:v>
      </x:c>
      <x:c r="C8" s="12" t="str">
        <x:v>Ready</x:v>
      </x:c>
      <x:c r="D8" s="12" t="str">
        <x:v>Ready</x:v>
      </x:c>
      <x:c r="E8" s="12" t="str">
        <x:v>Ready</x:v>
      </x:c>
      <x:c r="F8" s="12" t="str">
        <x:v>Ready</x:v>
      </x:c>
      <x:c r="G8" s="12" t="str">
        <x:v>Ready</x:v>
      </x:c>
      <x:c r="H8" s="12" t="str">
        <x:v>Yes</x:v>
      </x:c>
      <x:c r="I8" s="12" t="str"/>
      <x:c r="J8" s="12" t="str">
        <x:v>Ready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8.75" hidden="0" customWidth="1"/>
    <x:col min="2" max="2" width="13.380000114440918" hidden="0" customWidth="1"/>
    <x:col min="3" max="3" width="8.75" hidden="0" customWidth="1"/>
    <x:col min="4" max="4" width="10.880000114440918" hidden="0" customWidth="1"/>
    <x:col min="5" max="5" width="8" hidden="0" customWidth="1"/>
    <x:col min="6" max="6" width="8" hidden="0" customWidth="1"/>
    <x:col min="7" max="7" width="7.75" hidden="0" customWidth="1"/>
    <x:col min="8" max="8" width="13.380000114440918" hidden="0" customWidth="1"/>
    <x:col min="9" max="9" width="18.5" hidden="0" customWidth="1"/>
  </x:cols>
  <x:sheetData>
    <x:row r="1">
      <x:c r="A1" s="6" t="str">
        <x:v>Manager</x:v>
      </x:c>
      <x:c r="B1" s="12" t="str">
        <x:v>Eligible Check-Ins</x:v>
      </x:c>
      <x:c r="C1" s="12" t="str">
        <x:v>Completed</x:v>
      </x:c>
      <x:c r="D1" s="12" t="str">
        <x:v>Completion %</x:v>
      </x:c>
      <x:c r="E1" s="12" t="str">
        <x:v>30-Day</x:v>
      </x:c>
      <x:c r="F1" s="12" t="str">
        <x:v>60-Day</x:v>
      </x:c>
      <x:c r="G1" s="12" t="str">
        <x:v>90-Day</x:v>
      </x:c>
      <x:c r="H1" s="12" t="str">
        <x:v>Repeat Exception</x:v>
      </x:c>
      <x:c r="I1" s="12" t="str">
        <x:v>Management Action</x:v>
      </x:c>
    </x:row>
    <x:row r="2">
      <x:c r="A2" s="12" t="str">
        <x:v>Manager A</x:v>
      </x:c>
      <x:c r="B2" s="12" t="n">
        <x:v>12</x:v>
      </x:c>
      <x:c r="C2" s="12" t="n">
        <x:v>12</x:v>
      </x:c>
      <x:c r="D2" s="28" t="n">
        <x:f>C2/B2</x:f>
        <x:v>1</x:v>
      </x:c>
      <x:c r="E2" s="12" t="str">
        <x:v>Complete</x:v>
      </x:c>
      <x:c r="F2" s="12" t="str">
        <x:v>Complete</x:v>
      </x:c>
      <x:c r="G2" s="12" t="str">
        <x:v>Complete</x:v>
      </x:c>
      <x:c r="H2" s="12" t="str">
        <x:v>No</x:v>
      </x:c>
      <x:c r="I2" s="12" t="str">
        <x:v>Maintain</x:v>
      </x:c>
    </x:row>
    <x:row r="3">
      <x:c r="A3" s="12" t="str">
        <x:v>Manager B</x:v>
      </x:c>
      <x:c r="B3" s="12" t="n">
        <x:v>10</x:v>
      </x:c>
      <x:c r="C3" s="12" t="n">
        <x:v>10</x:v>
      </x:c>
      <x:c r="D3" s="28" t="n">
        <x:f>C3/B3</x:f>
        <x:v>1</x:v>
      </x:c>
      <x:c r="E3" s="12" t="str">
        <x:v>Complete</x:v>
      </x:c>
      <x:c r="F3" s="12" t="str">
        <x:v>Complete</x:v>
      </x:c>
      <x:c r="G3" s="12" t="str">
        <x:v>Complete</x:v>
      </x:c>
      <x:c r="H3" s="12" t="str">
        <x:v>No</x:v>
      </x:c>
      <x:c r="I3" s="12" t="str">
        <x:v>Maintain</x:v>
      </x:c>
    </x:row>
    <x:row r="4">
      <x:c r="A4" s="12" t="str">
        <x:v>Manager C</x:v>
      </x:c>
      <x:c r="B4" s="12" t="n">
        <x:v>9</x:v>
      </x:c>
      <x:c r="C4" s="12" t="n">
        <x:v>8</x:v>
      </x:c>
      <x:c r="D4" s="28" t="n">
        <x:f>C4/B4</x:f>
        <x:v>0.8888888888888888</x:v>
      </x:c>
      <x:c r="E4" s="12" t="str">
        <x:v>1 overdue</x:v>
      </x:c>
      <x:c r="F4" s="12" t="str">
        <x:v>Complete</x:v>
      </x:c>
      <x:c r="G4" s="12" t="str">
        <x:v>Complete</x:v>
      </x:c>
      <x:c r="H4" s="12" t="str">
        <x:v>Yes</x:v>
      </x:c>
      <x:c r="I4" s="12" t="str">
        <x:v>HRBP coaching</x:v>
      </x:c>
    </x:row>
    <x:row r="5">
      <x:c r="A5" s="12" t="str">
        <x:v>Manager D</x:v>
      </x:c>
      <x:c r="B5" s="12" t="n">
        <x:v>8</x:v>
      </x:c>
      <x:c r="C5" s="12" t="n">
        <x:v>8</x:v>
      </x:c>
      <x:c r="D5" s="28" t="n">
        <x:f>C5/B5</x:f>
        <x:v>1</x:v>
      </x:c>
      <x:c r="E5" s="12" t="str">
        <x:v>Complete</x:v>
      </x:c>
      <x:c r="F5" s="12" t="str">
        <x:v>Complete</x:v>
      </x:c>
      <x:c r="G5" s="12" t="str">
        <x:v>Complete</x:v>
      </x:c>
      <x:c r="H5" s="12" t="str">
        <x:v>No</x:v>
      </x:c>
      <x:c r="I5" s="12" t="str">
        <x:v>Maintain</x:v>
      </x:c>
    </x:row>
    <x:row r="6">
      <x:c r="A6" s="12" t="str">
        <x:v>Manager E</x:v>
      </x:c>
      <x:c r="B6" s="12" t="n">
        <x:v>7</x:v>
      </x:c>
      <x:c r="C6" s="12" t="n">
        <x:v>7</x:v>
      </x:c>
      <x:c r="D6" s="28" t="n">
        <x:f>C6/B6</x:f>
        <x:v>1</x:v>
      </x:c>
      <x:c r="E6" s="12" t="str">
        <x:v>Complete</x:v>
      </x:c>
      <x:c r="F6" s="12" t="str">
        <x:v>Complete</x:v>
      </x:c>
      <x:c r="G6" s="12" t="str">
        <x:v>Complete</x:v>
      </x:c>
      <x:c r="H6" s="12" t="str">
        <x:v>No</x:v>
      </x:c>
      <x:c r="I6" s="12" t="str">
        <x:v>Maintain</x:v>
      </x:c>
    </x:row>
    <x:row r="7">
      <x:c r="A7" s="12" t="str">
        <x:v>Manager F</x:v>
      </x:c>
      <x:c r="B7" s="12" t="n">
        <x:v>6</x:v>
      </x:c>
      <x:c r="C7" s="12" t="n">
        <x:v>5</x:v>
      </x:c>
      <x:c r="D7" s="28" t="n">
        <x:f>C7/B7</x:f>
        <x:v>0.8333333333333334</x:v>
      </x:c>
      <x:c r="E7" s="12" t="str">
        <x:v>1 overdue</x:v>
      </x:c>
      <x:c r="F7" s="12" t="str">
        <x:v>1 overdue</x:v>
      </x:c>
      <x:c r="G7" s="12" t="str">
        <x:v>Complete</x:v>
      </x:c>
      <x:c r="H7" s="12" t="str">
        <x:v>Yes</x:v>
      </x:c>
      <x:c r="I7" s="12" t="str">
        <x:v>Escalate adherence plan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.75" hidden="0" customWidth="1"/>
    <x:col min="2" max="2" width="7.130000114440918" hidden="0" customWidth="1"/>
    <x:col min="3" max="3" width="8.75" hidden="0" customWidth="1"/>
    <x:col min="4" max="4" width="10.880000114440918" hidden="0" customWidth="1"/>
    <x:col min="5" max="5" width="6.880000114440918" hidden="0" customWidth="1"/>
    <x:col min="6" max="6" width="7" hidden="0" customWidth="1"/>
    <x:col min="7" max="7" width="11.130000114440918" hidden="0" customWidth="1"/>
    <x:col min="8" max="8" width="6.880000114440918" hidden="0" customWidth="1"/>
    <x:col min="9" max="9" width="16.1299991607666" hidden="0" customWidth="1"/>
  </x:cols>
  <x:sheetData>
    <x:row r="1">
      <x:c r="A1" s="6" t="str">
        <x:v>Learning Area</x:v>
      </x:c>
      <x:c r="B1" s="12" t="str">
        <x:v>Assigned</x:v>
      </x:c>
      <x:c r="C1" s="12" t="str">
        <x:v>Completed</x:v>
      </x:c>
      <x:c r="D1" s="12" t="str">
        <x:v>Completion %</x:v>
      </x:c>
      <x:c r="E1" s="12" t="str">
        <x:v>Target %</x:v>
      </x:c>
      <x:c r="F1" s="12" t="str">
        <x:v>Overdue</x:v>
      </x:c>
      <x:c r="G1" s="12" t="str">
        <x:v>Owner</x:v>
      </x:c>
      <x:c r="H1" s="12" t="str">
        <x:v>Risk</x:v>
      </x:c>
      <x:c r="I1" s="12" t="str">
        <x:v>Action</x:v>
      </x:c>
    </x:row>
    <x:row r="2">
      <x:c r="A2" s="12" t="str">
        <x:v>Company/People</x:v>
      </x:c>
      <x:c r="B2" s="12" t="n">
        <x:v>53</x:v>
      </x:c>
      <x:c r="C2" s="12" t="n">
        <x:v>53</x:v>
      </x:c>
      <x:c r="D2" s="28" t="n">
        <x:f>C2/B2</x:f>
        <x:v>1</x:v>
      </x:c>
      <x:c r="E2" s="28" t="n">
        <x:v>0.97</x:v>
      </x:c>
      <x:c r="F2" s="12" t="n">
        <x:v>0</x:v>
      </x:c>
      <x:c r="G2" s="12" t="str">
        <x:v>People Ops</x:v>
      </x:c>
      <x:c r="H2" s="12" t="str">
        <x:v>Low</x:v>
      </x:c>
      <x:c r="I2" s="12" t="str">
        <x:v>Maintain</x:v>
      </x:c>
    </x:row>
    <x:row r="3">
      <x:c r="A3" s="12" t="str">
        <x:v>Security/Compliance</x:v>
      </x:c>
      <x:c r="B3" s="12" t="n">
        <x:v>53</x:v>
      </x:c>
      <x:c r="C3" s="12" t="n">
        <x:v>52</x:v>
      </x:c>
      <x:c r="D3" s="28" t="n">
        <x:f>C3/B3</x:f>
        <x:v>0.9811320754716981</x:v>
      </x:c>
      <x:c r="E3" s="28" t="n">
        <x:v>0.97</x:v>
      </x:c>
      <x:c r="F3" s="12" t="n">
        <x:v>1</x:v>
      </x:c>
      <x:c r="G3" s="12" t="str">
        <x:v>Security/L&amp;D</x:v>
      </x:c>
      <x:c r="H3" s="12" t="str">
        <x:v>Low</x:v>
      </x:c>
      <x:c r="I3" s="12" t="str">
        <x:v>Close exception</x:v>
      </x:c>
    </x:row>
    <x:row r="4">
      <x:c r="A4" s="12" t="str">
        <x:v>Systems/Tools</x:v>
      </x:c>
      <x:c r="B4" s="12" t="n">
        <x:v>53</x:v>
      </x:c>
      <x:c r="C4" s="12" t="n">
        <x:v>51</x:v>
      </x:c>
      <x:c r="D4" s="28" t="n">
        <x:f>C4/B4</x:f>
        <x:v>0.9622641509433962</x:v>
      </x:c>
      <x:c r="E4" s="28" t="n">
        <x:v>0.97</x:v>
      </x:c>
      <x:c r="F4" s="12" t="n">
        <x:v>2</x:v>
      </x:c>
      <x:c r="G4" s="12" t="str">
        <x:v>L&amp;D/Manager</x:v>
      </x:c>
      <x:c r="H4" s="12" t="str">
        <x:v>Medium</x:v>
      </x:c>
      <x:c r="I4" s="12" t="str">
        <x:v>Targeted follow-up</x:v>
      </x:c>
    </x:row>
    <x:row r="5">
      <x:c r="A5" s="12" t="str">
        <x:v>Role Knowledge</x:v>
      </x:c>
      <x:c r="B5" s="12" t="n">
        <x:v>53</x:v>
      </x:c>
      <x:c r="C5" s="12" t="n">
        <x:v>50</x:v>
      </x:c>
      <x:c r="D5" s="28" t="n">
        <x:f>C5/B5</x:f>
        <x:v>0.9433962264150944</x:v>
      </x:c>
      <x:c r="E5" s="28" t="n">
        <x:v>0.95</x:v>
      </x:c>
      <x:c r="F5" s="12" t="n">
        <x:v>3</x:v>
      </x:c>
      <x:c r="G5" s="12" t="str">
        <x:v>Manager</x:v>
      </x:c>
      <x:c r="H5" s="12" t="str">
        <x:v>Medium</x:v>
      </x:c>
      <x:c r="I5" s="12" t="str">
        <x:v>Role coaching</x:v>
      </x:c>
    </x:row>
    <x:row r="6">
      <x:c r="A6" s="12" t="str">
        <x:v>Process Knowledge</x:v>
      </x:c>
      <x:c r="B6" s="12" t="n">
        <x:v>53</x:v>
      </x:c>
      <x:c r="C6" s="12" t="n">
        <x:v>51</x:v>
      </x:c>
      <x:c r="D6" s="28" t="n">
        <x:f>C6/B6</x:f>
        <x:v>0.9622641509433962</x:v>
      </x:c>
      <x:c r="E6" s="28" t="n">
        <x:v>0.95</x:v>
      </x:c>
      <x:c r="F6" s="12" t="n">
        <x:v>2</x:v>
      </x:c>
      <x:c r="G6" s="12" t="str">
        <x:v>Manager</x:v>
      </x:c>
      <x:c r="H6" s="12" t="str">
        <x:v>Medium</x:v>
      </x:c>
      <x:c r="I6" s="12" t="str">
        <x:v>Practice session</x:v>
      </x:c>
    </x:row>
    <x:row r="7">
      <x:c r="A7" s="12" t="str">
        <x:v>Required Certification</x:v>
      </x:c>
      <x:c r="B7" s="12" t="n">
        <x:v>18</x:v>
      </x:c>
      <x:c r="C7" s="12" t="n">
        <x:v>17</x:v>
      </x:c>
      <x:c r="D7" s="28" t="n">
        <x:f>C7/B7</x:f>
        <x:v>0.9444444444444444</x:v>
      </x:c>
      <x:c r="E7" s="28" t="n">
        <x:v>0.94</x:v>
      </x:c>
      <x:c r="F7" s="12" t="n">
        <x:v>1</x:v>
      </x:c>
      <x:c r="G7" s="12" t="str">
        <x:v>L&amp;D</x:v>
      </x:c>
      <x:c r="H7" s="12" t="str">
        <x:v>Low</x:v>
      </x:c>
      <x:c r="I7" s="12" t="str">
        <x:v>Schedule completion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5.630000114440918" hidden="0" customWidth="1"/>
    <x:col min="2" max="2" width="9" hidden="0" customWidth="1"/>
    <x:col min="3" max="3" width="20.75" hidden="0" customWidth="1"/>
    <x:col min="4" max="4" width="16.3799991607666" hidden="0" customWidth="1"/>
    <x:col min="5" max="5" width="6.5" hidden="0" customWidth="1"/>
    <x:col min="6" max="6" width="4" hidden="0" customWidth="1"/>
    <x:col min="7" max="7" width="9" hidden="0" customWidth="1"/>
    <x:col min="8" max="8" width="15.380000114440918" hidden="0" customWidth="1"/>
    <x:col min="9" max="9" width="5.5" hidden="0" customWidth="1"/>
    <x:col min="10" max="10" width="20.25" hidden="0" customWidth="1"/>
  </x:cols>
  <x:sheetData>
    <x:row r="1">
      <x:c r="A1" s="6" t="str">
        <x:v>ID</x:v>
      </x:c>
      <x:c r="B1" s="12" t="str">
        <x:v>Function</x:v>
      </x:c>
      <x:c r="C1" s="12" t="str">
        <x:v>Issue</x:v>
      </x:c>
      <x:c r="D1" s="12" t="str">
        <x:v>Employee Impact</x:v>
      </x:c>
      <x:c r="E1" s="12" t="str">
        <x:v>Opened</x:v>
      </x:c>
      <x:c r="F1" s="12" t="str">
        <x:v>Due</x:v>
      </x:c>
      <x:c r="G1" s="12" t="str">
        <x:v>Owner</x:v>
      </x:c>
      <x:c r="H1" s="12" t="str">
        <x:v>Workaround</x:v>
      </x:c>
      <x:c r="I1" s="12" t="str">
        <x:v>Status</x:v>
      </x:c>
      <x:c r="J1" s="12" t="str">
        <x:v>Root Cause Action</x:v>
      </x:c>
    </x:row>
    <x:row r="2">
      <x:c r="A2" s="12" t="str">
        <x:v>SLA-01</x:v>
      </x:c>
      <x:c r="B2" s="12" t="str">
        <x:v>IT</x:v>
      </x:c>
      <x:c r="C2" s="12" t="str">
        <x:v>Access provisioning delay</x:v>
      </x:c>
      <x:c r="D2" s="12" t="str">
        <x:v>Day-1 productivity</x:v>
      </x:c>
      <x:c r="E2" s="12" t="str">
        <x:v>W12</x:v>
      </x:c>
      <x:c r="F2" s="12" t="str">
        <x:v>W13</x:v>
      </x:c>
      <x:c r="G2" s="12" t="str">
        <x:v>IT Ops</x:v>
      </x:c>
      <x:c r="H2" s="12" t="str">
        <x:v>Temporary access</x:v>
      </x:c>
      <x:c r="I2" s="12" t="str">
        <x:v>Open</x:v>
      </x:c>
      <x:c r="J2" s="12" t="str">
        <x:v>Provisioning queue review</x:v>
      </x:c>
    </x:row>
    <x:row r="3">
      <x:c r="A3" s="12" t="str">
        <x:v>SLA-02</x:v>
      </x:c>
      <x:c r="B3" s="12" t="str">
        <x:v>Manager</x:v>
      </x:c>
      <x:c r="C3" s="12" t="str">
        <x:v>Welcome plan late</x:v>
      </x:c>
      <x:c r="D3" s="12" t="str">
        <x:v>Experience/clarity</x:v>
      </x:c>
      <x:c r="E3" s="12" t="str">
        <x:v>W12</x:v>
      </x:c>
      <x:c r="F3" s="12" t="str">
        <x:v>W13</x:v>
      </x:c>
      <x:c r="G3" s="12" t="str">
        <x:v>Manager</x:v>
      </x:c>
      <x:c r="H3" s="12" t="str">
        <x:v>People Ops agenda</x:v>
      </x:c>
      <x:c r="I3" s="12" t="str">
        <x:v>Open</x:v>
      </x:c>
      <x:c r="J3" s="12" t="str">
        <x:v>Manager reminder control</x:v>
      </x:c>
    </x:row>
    <x:row r="4">
      <x:c r="A4" s="12" t="str">
        <x:v>SLA-03</x:v>
      </x:c>
      <x:c r="B4" s="12" t="str">
        <x:v>Payroll</x:v>
      </x:c>
      <x:c r="C4" s="12" t="str">
        <x:v>Bank setup exception</x:v>
      </x:c>
      <x:c r="D4" s="12" t="str">
        <x:v>Pay readiness</x:v>
      </x:c>
      <x:c r="E4" s="12" t="str">
        <x:v>W11</x:v>
      </x:c>
      <x:c r="F4" s="12" t="str">
        <x:v>W12</x:v>
      </x:c>
      <x:c r="G4" s="12" t="str">
        <x:v>Payroll</x:v>
      </x:c>
      <x:c r="H4" s="12" t="str">
        <x:v>Manual validation</x:v>
      </x:c>
      <x:c r="I4" s="12" t="str">
        <x:v>Closed</x:v>
      </x:c>
      <x:c r="J4" s="12" t="str">
        <x:v>Form validation</x:v>
      </x:c>
    </x:row>
    <x:row r="5">
      <x:c r="A5" s="12" t="str">
        <x:v>SLA-04</x:v>
      </x:c>
      <x:c r="B5" s="12" t="str">
        <x:v>IT</x:v>
      </x:c>
      <x:c r="C5" s="12" t="str">
        <x:v>Equipment shipment delay</x:v>
      </x:c>
      <x:c r="D5" s="12" t="str">
        <x:v>Day-1 readiness</x:v>
      </x:c>
      <x:c r="E5" s="12" t="str">
        <x:v>W10</x:v>
      </x:c>
      <x:c r="F5" s="12" t="str">
        <x:v>W10</x:v>
      </x:c>
      <x:c r="G5" s="12" t="str">
        <x:v>IT Ops</x:v>
      </x:c>
      <x:c r="H5" s="12" t="str">
        <x:v>Loaner device</x:v>
      </x:c>
      <x:c r="I5" s="12" t="str">
        <x:v>Closed</x:v>
      </x:c>
      <x:c r="J5" s="12" t="str">
        <x:v>Ship-date trigger</x:v>
      </x:c>
    </x:row>
    <x:row r="6">
      <x:c r="A6" s="12" t="str">
        <x:v>SLA-05</x:v>
      </x:c>
      <x:c r="B6" s="12" t="str">
        <x:v>L&amp;D</x:v>
      </x:c>
      <x:c r="C6" s="12" t="str">
        <x:v>Training assignment late</x:v>
      </x:c>
      <x:c r="D6" s="12" t="str">
        <x:v>Learning delay</x:v>
      </x:c>
      <x:c r="E6" s="12" t="str">
        <x:v>W10</x:v>
      </x:c>
      <x:c r="F6" s="12" t="str">
        <x:v>W11</x:v>
      </x:c>
      <x:c r="G6" s="12" t="str">
        <x:v>L&amp;D</x:v>
      </x:c>
      <x:c r="H6" s="12" t="str">
        <x:v>Manual assignment</x:v>
      </x:c>
      <x:c r="I6" s="12" t="str">
        <x:v>Closed</x:v>
      </x:c>
      <x:c r="J6" s="12" t="str">
        <x:v>Workflow automation</x:v>
      </x:c>
    </x:row>
    <x:row r="7">
      <x:c r="A7" s="12" t="str">
        <x:v>SLA-06</x:v>
      </x:c>
      <x:c r="B7" s="12" t="str">
        <x:v>People Ops</x:v>
      </x:c>
      <x:c r="C7" s="12" t="str">
        <x:v>Missing emergency contact</x:v>
      </x:c>
      <x:c r="D7" s="12" t="str">
        <x:v>Record completeness</x:v>
      </x:c>
      <x:c r="E7" s="12" t="str">
        <x:v>W9</x:v>
      </x:c>
      <x:c r="F7" s="12" t="str">
        <x:v>W9</x:v>
      </x:c>
      <x:c r="G7" s="12" t="str">
        <x:v>People Ops</x:v>
      </x:c>
      <x:c r="H7" s="12" t="str">
        <x:v>Employee follow-up</x:v>
      </x:c>
      <x:c r="I7" s="12" t="str">
        <x:v>Closed</x:v>
      </x:c>
      <x:c r="J7" s="12" t="str">
        <x:v>Preboarding validation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.5" hidden="0" customWidth="1"/>
    <x:col min="2" max="2" width="9.880000114440918" hidden="0" customWidth="1"/>
    <x:col min="3" max="3" width="29.25" hidden="0" customWidth="1"/>
    <x:col min="4" max="4" width="13.75" hidden="0" customWidth="1"/>
    <x:col min="5" max="5" width="4.130000114440918" hidden="0" customWidth="1"/>
    <x:col min="6" max="6" width="4" hidden="0" customWidth="1"/>
    <x:col min="7" max="7" width="6.880000114440918" hidden="0" customWidth="1"/>
    <x:col min="8" max="8" width="9.880000114440918" hidden="0" customWidth="1"/>
    <x:col min="9" max="9" width="8.75" hidden="0" customWidth="1"/>
    <x:col min="10" max="10" width="16.5" hidden="0" customWidth="1"/>
  </x:cols>
  <x:sheetData>
    <x:row r="1">
      <x:c r="A1" s="6" t="str">
        <x:v>ID</x:v>
      </x:c>
      <x:c r="B1" s="12" t="str">
        <x:v>Workstream</x:v>
      </x:c>
      <x:c r="C1" s="12" t="str">
        <x:v>Action</x:v>
      </x:c>
      <x:c r="D1" s="12" t="str">
        <x:v>Owner</x:v>
      </x:c>
      <x:c r="E1" s="12" t="str">
        <x:v>Start</x:v>
      </x:c>
      <x:c r="F1" s="12" t="str">
        <x:v>Due</x:v>
      </x:c>
      <x:c r="G1" s="12" t="str">
        <x:v>Priority</x:v>
      </x:c>
      <x:c r="H1" s="12" t="str">
        <x:v>Dependency</x:v>
      </x:c>
      <x:c r="I1" s="12" t="str">
        <x:v>Status</x:v>
      </x:c>
      <x:c r="J1" s="12" t="str">
        <x:v>Evidence</x:v>
      </x:c>
    </x:row>
    <x:row r="2">
      <x:c r="A2" s="12" t="str">
        <x:v>A01</x:v>
      </x:c>
      <x:c r="B2" s="12" t="str">
        <x:v>Readiness</x:v>
      </x:c>
      <x:c r="C2" s="12" t="str">
        <x:v>Launch Day-1 readiness gate</x:v>
      </x:c>
      <x:c r="D2" s="12" t="str">
        <x:v>People Ops</x:v>
      </x:c>
      <x:c r="E2" s="12" t="str">
        <x:v>W1</x:v>
      </x:c>
      <x:c r="F2" s="12" t="str">
        <x:v>W4</x:v>
      </x:c>
      <x:c r="G2" s="12" t="str">
        <x:v>High</x:v>
      </x:c>
      <x:c r="H2" s="12" t="str"/>
      <x:c r="I2" s="12" t="str">
        <x:v>Complete</x:v>
      </x:c>
      <x:c r="J2" s="12" t="str">
        <x:v>Readiness audit</x:v>
      </x:c>
    </x:row>
    <x:row r="3">
      <x:c r="A3" s="12" t="str">
        <x:v>A02</x:v>
      </x:c>
      <x:c r="B3" s="12" t="str">
        <x:v>Managers</x:v>
      </x:c>
      <x:c r="C3" s="12" t="str">
        <x:v>Standardize 30/60/90 check-ins</x:v>
      </x:c>
      <x:c r="D3" s="12" t="str">
        <x:v>People Ops/HRBP</x:v>
      </x:c>
      <x:c r="E3" s="12" t="str">
        <x:v>W2</x:v>
      </x:c>
      <x:c r="F3" s="12" t="str">
        <x:v>W5</x:v>
      </x:c>
      <x:c r="G3" s="12" t="str">
        <x:v>High</x:v>
      </x:c>
      <x:c r="H3" s="12" t="str">
        <x:v>A01</x:v>
      </x:c>
      <x:c r="I3" s="12" t="str">
        <x:v>Complete</x:v>
      </x:c>
      <x:c r="J3" s="12" t="str">
        <x:v>Check-in tracker</x:v>
      </x:c>
    </x:row>
    <x:row r="4">
      <x:c r="A4" s="12" t="str">
        <x:v>A03</x:v>
      </x:c>
      <x:c r="B4" s="12" t="str">
        <x:v>Learning</x:v>
      </x:c>
      <x:c r="C4" s="12" t="str">
        <x:v>Define role-readiness standards</x:v>
      </x:c>
      <x:c r="D4" s="12" t="str">
        <x:v>L&amp;D/Managers</x:v>
      </x:c>
      <x:c r="E4" s="12" t="str">
        <x:v>W3</x:v>
      </x:c>
      <x:c r="F4" s="12" t="str">
        <x:v>W6</x:v>
      </x:c>
      <x:c r="G4" s="12" t="str">
        <x:v>High</x:v>
      </x:c>
      <x:c r="H4" s="12" t="str">
        <x:v>A02</x:v>
      </x:c>
      <x:c r="I4" s="12" t="str">
        <x:v>Complete</x:v>
      </x:c>
      <x:c r="J4" s="12" t="str">
        <x:v>Readiness framework</x:v>
      </x:c>
    </x:row>
    <x:row r="5">
      <x:c r="A5" s="12" t="str">
        <x:v>A04</x:v>
      </x:c>
      <x:c r="B5" s="12" t="str">
        <x:v>Listening</x:v>
      </x:c>
      <x:c r="C5" s="12" t="str">
        <x:v>Implement W1/30/60/90 feedback</x:v>
      </x:c>
      <x:c r="D5" s="12" t="str">
        <x:v>People Ops</x:v>
      </x:c>
      <x:c r="E5" s="12" t="str">
        <x:v>W3</x:v>
      </x:c>
      <x:c r="F5" s="12" t="str">
        <x:v>W7</x:v>
      </x:c>
      <x:c r="G5" s="12" t="str">
        <x:v>High</x:v>
      </x:c>
      <x:c r="H5" s="12" t="str">
        <x:v>A01</x:v>
      </x:c>
      <x:c r="I5" s="12" t="str">
        <x:v>Complete</x:v>
      </x:c>
      <x:c r="J5" s="12" t="str">
        <x:v>Feedback log</x:v>
      </x:c>
    </x:row>
    <x:row r="6">
      <x:c r="A6" s="12" t="str">
        <x:v>A05</x:v>
      </x:c>
      <x:c r="B6" s="12" t="str">
        <x:v>Retention</x:v>
      </x:c>
      <x:c r="C6" s="12" t="str">
        <x:v>Create human-reviewed risk workflow</x:v>
      </x:c>
      <x:c r="D6" s="12" t="str">
        <x:v>People Ops</x:v>
      </x:c>
      <x:c r="E6" s="12" t="str">
        <x:v>W4</x:v>
      </x:c>
      <x:c r="F6" s="12" t="str">
        <x:v>W8</x:v>
      </x:c>
      <x:c r="G6" s="12" t="str">
        <x:v>High</x:v>
      </x:c>
      <x:c r="H6" s="12" t="str">
        <x:v>A02/A04</x:v>
      </x:c>
      <x:c r="I6" s="12" t="str">
        <x:v>Complete</x:v>
      </x:c>
      <x:c r="J6" s="12" t="str">
        <x:v>Risk review</x:v>
      </x:c>
    </x:row>
    <x:row r="7">
      <x:c r="A7" s="12" t="str">
        <x:v>A06</x:v>
      </x:c>
      <x:c r="B7" s="12" t="str">
        <x:v>SLA</x:v>
      </x:c>
      <x:c r="C7" s="12" t="str">
        <x:v>Formalize HR/IT/Payroll readiness SLAs</x:v>
      </x:c>
      <x:c r="D7" s="12" t="str">
        <x:v>People Ops</x:v>
      </x:c>
      <x:c r="E7" s="12" t="str">
        <x:v>W2</x:v>
      </x:c>
      <x:c r="F7" s="12" t="str">
        <x:v>W6</x:v>
      </x:c>
      <x:c r="G7" s="12" t="str">
        <x:v>High</x:v>
      </x:c>
      <x:c r="H7" s="12" t="str">
        <x:v>A01</x:v>
      </x:c>
      <x:c r="I7" s="12" t="str">
        <x:v>Complete</x:v>
      </x:c>
      <x:c r="J7" s="12" t="str">
        <x:v>SLA register</x:v>
      </x:c>
    </x:row>
    <x:row r="8">
      <x:c r="A8" s="12" t="str">
        <x:v>A07</x:v>
      </x:c>
      <x:c r="B8" s="12" t="str">
        <x:v>Governance</x:v>
      </x:c>
      <x:c r="C8" s="12" t="str">
        <x:v>Run weekly People Ops review</x:v>
      </x:c>
      <x:c r="D8" s="12" t="str">
        <x:v>People Ops</x:v>
      </x:c>
      <x:c r="E8" s="12" t="str">
        <x:v>W3</x:v>
      </x:c>
      <x:c r="F8" s="12" t="str">
        <x:v>W12</x:v>
      </x:c>
      <x:c r="G8" s="12" t="str">
        <x:v>High</x:v>
      </x:c>
      <x:c r="H8" s="12" t="str">
        <x:v>A01-A06</x:v>
      </x:c>
      <x:c r="I8" s="12" t="str">
        <x:v>In Progress</x:v>
      </x:c>
      <x:c r="J8" s="12" t="str">
        <x:v>WBR</x:v>
      </x:c>
    </x:row>
    <x:row r="9">
      <x:c r="A9" s="12" t="str">
        <x:v>A08</x:v>
      </x:c>
      <x:c r="B9" s="12" t="str">
        <x:v>Sustainment</x:v>
      </x:c>
      <x:c r="C9" s="12" t="str">
        <x:v>Transfer controls to BAU</x:v>
      </x:c>
      <x:c r="D9" s="12" t="str">
        <x:v>People Ops</x:v>
      </x:c>
      <x:c r="E9" s="12" t="str">
        <x:v>W11</x:v>
      </x:c>
      <x:c r="F9" s="12" t="str">
        <x:v>W14</x:v>
      </x:c>
      <x:c r="G9" s="12" t="str">
        <x:v>Medium</x:v>
      </x:c>
      <x:c r="H9" s="12" t="str">
        <x:v>A07</x:v>
      </x:c>
      <x:c r="I9" s="12" t="str">
        <x:v>Planned</x:v>
      </x:c>
      <x:c r="J9" s="12" t="str">
        <x:v>Handoff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.380000114440918" hidden="0" customWidth="1"/>
    <x:col min="2" max="2" width="28.1299991607666" hidden="0" customWidth="1"/>
    <x:col min="3" max="3" width="8.130000114440918" hidden="0" customWidth="1"/>
    <x:col min="4" max="4" width="5.75" hidden="0" customWidth="1"/>
    <x:col min="5" max="5" width="4.630000114440918" hidden="0" customWidth="1"/>
    <x:col min="6" max="6" width="11" hidden="0" customWidth="1"/>
    <x:col min="7" max="7" width="20.5" hidden="0" customWidth="1"/>
    <x:col min="8" max="8" width="19.75" hidden="0" customWidth="1"/>
    <x:col min="9" max="9" width="8.380000114440918" hidden="0" customWidth="1"/>
    <x:col min="10" max="10" width="13.5" hidden="0" customWidth="1"/>
  </x:cols>
  <x:sheetData>
    <x:row r="1">
      <x:c r="A1" s="6" t="str">
        <x:v>ID</x:v>
      </x:c>
      <x:c r="B1" s="12" t="str">
        <x:v>Process Risk</x:v>
      </x:c>
      <x:c r="C1" s="12" t="str">
        <x:v>Likelihood</x:v>
      </x:c>
      <x:c r="D1" s="12" t="str">
        <x:v>Impact</x:v>
      </x:c>
      <x:c r="E1" s="12" t="str">
        <x:v>Score</x:v>
      </x:c>
      <x:c r="F1" s="12" t="str">
        <x:v>Owner</x:v>
      </x:c>
      <x:c r="G1" s="12" t="str">
        <x:v>Mitigation</x:v>
      </x:c>
      <x:c r="H1" s="12" t="str">
        <x:v>Trigger</x:v>
      </x:c>
      <x:c r="I1" s="12" t="str">
        <x:v>Status</x:v>
      </x:c>
      <x:c r="J1" s="12" t="str">
        <x:v>Escalation</x:v>
      </x:c>
    </x:row>
    <x:row r="2">
      <x:c r="A2" s="12" t="str">
        <x:v>R01</x:v>
      </x:c>
      <x:c r="B2" s="12" t="str">
        <x:v>Day-1 access failure</x:v>
      </x:c>
      <x:c r="C2" s="12" t="n">
        <x:v>3</x:v>
      </x:c>
      <x:c r="D2" s="12" t="n">
        <x:v>5</x:v>
      </x:c>
      <x:c r="E2" s="12" t="n">
        <x:f>C2*D2</x:f>
        <x:v>15</x:v>
      </x:c>
      <x:c r="F2" s="12" t="str">
        <x:v>People Ops/IT</x:v>
      </x:c>
      <x:c r="G2" s="12" t="str">
        <x:v>Readiness gate</x:v>
      </x:c>
      <x:c r="H2" s="12" t="str">
        <x:v>Critical item not ready T-1</x:v>
      </x:c>
      <x:c r="I2" s="12" t="str">
        <x:v>Controlled</x:v>
      </x:c>
      <x:c r="J2" s="12" t="str">
        <x:v>People/IT leader</x:v>
      </x:c>
    </x:row>
    <x:row r="3">
      <x:c r="A3" s="12" t="str">
        <x:v>R02</x:v>
      </x:c>
      <x:c r="B3" s="12" t="str">
        <x:v>Payroll setup failure</x:v>
      </x:c>
      <x:c r="C3" s="12" t="n">
        <x:v>2</x:v>
      </x:c>
      <x:c r="D3" s="12" t="n">
        <x:v>5</x:v>
      </x:c>
      <x:c r="E3" s="12" t="n">
        <x:f>C3*D3</x:f>
        <x:v>10</x:v>
      </x:c>
      <x:c r="F3" s="12" t="str">
        <x:v>Payroll</x:v>
      </x:c>
      <x:c r="G3" s="12" t="str">
        <x:v>Pre-start validation</x:v>
      </x:c>
      <x:c r="H3" s="12" t="str">
        <x:v>Pay-impacting exception</x:v>
      </x:c>
      <x:c r="I3" s="12" t="str">
        <x:v>Controlled</x:v>
      </x:c>
      <x:c r="J3" s="12" t="str">
        <x:v>HR/Payroll leader</x:v>
      </x:c>
    </x:row>
    <x:row r="4">
      <x:c r="A4" s="12" t="str">
        <x:v>R03</x:v>
      </x:c>
      <x:c r="B4" s="12" t="str">
        <x:v>Manager check-in noncompliance</x:v>
      </x:c>
      <x:c r="C4" s="12" t="n">
        <x:v>3</x:v>
      </x:c>
      <x:c r="D4" s="12" t="n">
        <x:v>4</x:v>
      </x:c>
      <x:c r="E4" s="12" t="n">
        <x:f>C4*D4</x:f>
        <x:v>12</x:v>
      </x:c>
      <x:c r="F4" s="12" t="str">
        <x:v>HRBP</x:v>
      </x:c>
      <x:c r="G4" s="12" t="str">
        <x:v>Exception coaching</x:v>
      </x:c>
      <x:c r="H4" s="12" t="str">
        <x:v>Repeat missed check-in</x:v>
      </x:c>
      <x:c r="I4" s="12" t="str">
        <x:v>Controlled</x:v>
      </x:c>
      <x:c r="J4" s="12" t="str">
        <x:v>People leader</x:v>
      </x:c>
    </x:row>
    <x:row r="5">
      <x:c r="A5" s="12" t="str">
        <x:v>R04</x:v>
      </x:c>
      <x:c r="B5" s="12" t="str">
        <x:v>Incomplete required training</x:v>
      </x:c>
      <x:c r="C5" s="12" t="n">
        <x:v>3</x:v>
      </x:c>
      <x:c r="D5" s="12" t="n">
        <x:v>4</x:v>
      </x:c>
      <x:c r="E5" s="12" t="n">
        <x:f>C5*D5</x:f>
        <x:v>12</x:v>
      </x:c>
      <x:c r="F5" s="12" t="str">
        <x:v>L&amp;D</x:v>
      </x:c>
      <x:c r="G5" s="12" t="str">
        <x:v>Overdue alerts</x:v>
      </x:c>
      <x:c r="H5" s="12" t="str">
        <x:v>Critical training overdue</x:v>
      </x:c>
      <x:c r="I5" s="12" t="str">
        <x:v>Controlled</x:v>
      </x:c>
      <x:c r="J5" s="12" t="str">
        <x:v>Manager/HR</x:v>
      </x:c>
    </x:row>
    <x:row r="6">
      <x:c r="A6" s="12" t="str">
        <x:v>R05</x:v>
      </x:c>
      <x:c r="B6" s="12" t="str">
        <x:v>Sensitive employee issue mishandled</x:v>
      </x:c>
      <x:c r="C6" s="12" t="n">
        <x:v>2</x:v>
      </x:c>
      <x:c r="D6" s="12" t="n">
        <x:v>5</x:v>
      </x:c>
      <x:c r="E6" s="12" t="n">
        <x:f>C6*D6</x:f>
        <x:v>10</x:v>
      </x:c>
      <x:c r="F6" s="12" t="str">
        <x:v>People Ops</x:v>
      </x:c>
      <x:c r="G6" s="12" t="str">
        <x:v>Authorized escalation path</x:v>
      </x:c>
      <x:c r="H6" s="12" t="str">
        <x:v>Sensitive disclosure</x:v>
      </x:c>
      <x:c r="I6" s="12" t="str">
        <x:v>Controlled</x:v>
      </x:c>
      <x:c r="J6" s="12" t="str">
        <x:v>HR/Legal</x:v>
      </x:c>
    </x:row>
    <x:row r="7">
      <x:c r="A7" s="12" t="str">
        <x:v>R06</x:v>
      </x:c>
      <x:c r="B7" s="12" t="str">
        <x:v>Employee-data privacy breach</x:v>
      </x:c>
      <x:c r="C7" s="12" t="n">
        <x:v>2</x:v>
      </x:c>
      <x:c r="D7" s="12" t="n">
        <x:v>5</x:v>
      </x:c>
      <x:c r="E7" s="12" t="n">
        <x:f>C7*D7</x:f>
        <x:v>10</x:v>
      </x:c>
      <x:c r="F7" s="12" t="str">
        <x:v>People Ops</x:v>
      </x:c>
      <x:c r="G7" s="12" t="str">
        <x:v>Need-to-know access</x:v>
      </x:c>
      <x:c r="H7" s="12" t="str">
        <x:v>Unauthorized exposure</x:v>
      </x:c>
      <x:c r="I7" s="12" t="str">
        <x:v>Controlled</x:v>
      </x:c>
      <x:c r="J7" s="12" t="str">
        <x:v>Privacy/Security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5.380000114440918" hidden="0" customWidth="1"/>
    <x:col min="2" max="2" width="8.380000114440918" hidden="0" customWidth="1"/>
    <x:col min="3" max="3" width="8" hidden="0" customWidth="1"/>
    <x:col min="4" max="4" width="8.5" hidden="0" customWidth="1"/>
    <x:col min="5" max="5" width="8.25" hidden="0" customWidth="1"/>
    <x:col min="6" max="6" width="12.75" hidden="0" customWidth="1"/>
    <x:col min="7" max="7" width="23.8799991607666" hidden="0" customWidth="1"/>
    <x:col min="8" max="8" width="8.75" hidden="0" customWidth="1"/>
    <x:col min="9" max="9" width="12.130000114440918" hidden="0" customWidth="1"/>
  </x:cols>
  <x:sheetData>
    <x:row r="1">
      <x:c r="A1" s="6" t="str">
        <x:v>Theme</x:v>
      </x:c>
      <x:c r="B1" s="12" t="str">
        <x:v>Responses</x:v>
      </x:c>
      <x:c r="C1" s="12" t="str">
        <x:v>Positive %</x:v>
      </x:c>
      <x:c r="D1" s="12" t="str">
        <x:v>Concern %</x:v>
      </x:c>
      <x:c r="E1" s="12" t="str">
        <x:v>Stage</x:v>
      </x:c>
      <x:c r="F1" s="12" t="str">
        <x:v>Owner</x:v>
      </x:c>
      <x:c r="G1" s="12" t="str">
        <x:v>Operational Response</x:v>
      </x:c>
      <x:c r="H1" s="12" t="str">
        <x:v>Status</x:v>
      </x:c>
      <x:c r="I1" s="12" t="str">
        <x:v>Reporting Level</x:v>
      </x:c>
    </x:row>
    <x:row r="2">
      <x:c r="A2" s="12" t="str">
        <x:v>Manager Support</x:v>
      </x:c>
      <x:c r="B2" s="12" t="n">
        <x:v>48</x:v>
      </x:c>
      <x:c r="C2" s="28" t="n">
        <x:v>0.88</x:v>
      </x:c>
      <x:c r="D2" s="28" t="n">
        <x:v>0.12</x:v>
      </x:c>
      <x:c r="E2" s="12" t="str">
        <x:v>30 Day</x:v>
      </x:c>
      <x:c r="F2" s="12" t="str">
        <x:v>HRBP</x:v>
      </x:c>
      <x:c r="G2" s="12" t="str">
        <x:v>Coach exception managers</x:v>
      </x:c>
      <x:c r="H2" s="12" t="str">
        <x:v>In Progress</x:v>
      </x:c>
      <x:c r="I2" s="12" t="str">
        <x:v>Aggregated</x:v>
      </x:c>
    </x:row>
    <x:row r="3">
      <x:c r="A3" s="12" t="str">
        <x:v>Role Clarity</x:v>
      </x:c>
      <x:c r="B3" s="12" t="n">
        <x:v>47</x:v>
      </x:c>
      <x:c r="C3" s="28" t="n">
        <x:v>0.85</x:v>
      </x:c>
      <x:c r="D3" s="28" t="n">
        <x:v>0.15</x:v>
      </x:c>
      <x:c r="E3" s="12" t="str">
        <x:v>30/60 Day</x:v>
      </x:c>
      <x:c r="F3" s="12" t="str">
        <x:v>Managers</x:v>
      </x:c>
      <x:c r="G3" s="12" t="str">
        <x:v>Role expectation template</x:v>
      </x:c>
      <x:c r="H3" s="12" t="str">
        <x:v>In Progress</x:v>
      </x:c>
      <x:c r="I3" s="12" t="str">
        <x:v>Aggregated</x:v>
      </x:c>
    </x:row>
    <x:row r="4">
      <x:c r="A4" s="12" t="str">
        <x:v>Systems/Access</x:v>
      </x:c>
      <x:c r="B4" s="12" t="n">
        <x:v>51</x:v>
      </x:c>
      <x:c r="C4" s="28" t="n">
        <x:v>0.92</x:v>
      </x:c>
      <x:c r="D4" s="28" t="n">
        <x:v>0.08</x:v>
      </x:c>
      <x:c r="E4" s="12" t="str">
        <x:v>Week 1</x:v>
      </x:c>
      <x:c r="F4" s="12" t="str">
        <x:v>IT Ops</x:v>
      </x:c>
      <x:c r="G4" s="12" t="str">
        <x:v>Readiness gate</x:v>
      </x:c>
      <x:c r="H4" s="12" t="str">
        <x:v>In Progress</x:v>
      </x:c>
      <x:c r="I4" s="12" t="str">
        <x:v>Aggregated</x:v>
      </x:c>
    </x:row>
    <x:row r="5">
      <x:c r="A5" s="12" t="str">
        <x:v>Training</x:v>
      </x:c>
      <x:c r="B5" s="12" t="n">
        <x:v>49</x:v>
      </x:c>
      <x:c r="C5" s="28" t="n">
        <x:v>0.86</x:v>
      </x:c>
      <x:c r="D5" s="28" t="n">
        <x:v>0.14</x:v>
      </x:c>
      <x:c r="E5" s="12" t="str">
        <x:v>30/60 Day</x:v>
      </x:c>
      <x:c r="F5" s="12" t="str">
        <x:v>L&amp;D</x:v>
      </x:c>
      <x:c r="G5" s="12" t="str">
        <x:v>Role-based path improvements</x:v>
      </x:c>
      <x:c r="H5" s="12" t="str">
        <x:v>Planned</x:v>
      </x:c>
      <x:c r="I5" s="12" t="str">
        <x:v>Aggregated</x:v>
      </x:c>
    </x:row>
    <x:row r="6">
      <x:c r="A6" s="12" t="str">
        <x:v>Connection/Culture</x:v>
      </x:c>
      <x:c r="B6" s="12" t="n">
        <x:v>45</x:v>
      </x:c>
      <x:c r="C6" s="28" t="n">
        <x:v>0.89</x:v>
      </x:c>
      <x:c r="D6" s="28" t="n">
        <x:v>0.11</x:v>
      </x:c>
      <x:c r="E6" s="12" t="str">
        <x:v>30 Day</x:v>
      </x:c>
      <x:c r="F6" s="12" t="str">
        <x:v>People Ops</x:v>
      </x:c>
      <x:c r="G6" s="12" t="str">
        <x:v>Peer/buddy touchpoints</x:v>
      </x:c>
      <x:c r="H6" s="12" t="str">
        <x:v>Maintain</x:v>
      </x:c>
      <x:c r="I6" s="12" t="str">
        <x:v>Aggregated</x:v>
      </x:c>
    </x:row>
    <x:row r="7">
      <x:c r="A7" s="12" t="str">
        <x:v>Workload</x:v>
      </x:c>
      <x:c r="B7" s="12" t="n">
        <x:v>43</x:v>
      </x:c>
      <x:c r="C7" s="28" t="n">
        <x:v>0.81</x:v>
      </x:c>
      <x:c r="D7" s="28" t="n">
        <x:v>0.19</x:v>
      </x:c>
      <x:c r="E7" s="12" t="str">
        <x:v>60/90 Day</x:v>
      </x:c>
      <x:c r="F7" s="12" t="str">
        <x:v>Managers/HRBP</x:v>
      </x:c>
      <x:c r="G7" s="12" t="str">
        <x:v>Workload review guidance</x:v>
      </x:c>
      <x:c r="H7" s="12" t="str">
        <x:v>In Progress</x:v>
      </x:c>
      <x:c r="I7" s="12" t="str">
        <x:v>Aggregated</x:v>
      </x:c>
    </x:row>
    <x:row r="8">
      <x:c r="A8" s="12" t="str">
        <x:v>Onboarding Process</x:v>
      </x:c>
      <x:c r="B8" s="12" t="n">
        <x:v>50</x:v>
      </x:c>
      <x:c r="C8" s="28" t="n">
        <x:v>0.94</x:v>
      </x:c>
      <x:c r="D8" s="28" t="n">
        <x:v>0.06</x:v>
      </x:c>
      <x:c r="E8" s="12" t="str">
        <x:v>90 Day</x:v>
      </x:c>
      <x:c r="F8" s="12" t="str">
        <x:v>People Ops</x:v>
      </x:c>
      <x:c r="G8" s="12" t="str">
        <x:v>Maintain standards</x:v>
      </x:c>
      <x:c r="H8" s="12" t="str">
        <x:v>Maintain</x:v>
      </x:c>
      <x:c r="I8" s="12" t="str">
        <x:v>Aggregated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8.380000114440918" hidden="0" customWidth="1"/>
    <x:col min="3" max="3" width="17.5" hidden="0" customWidth="1"/>
    <x:col min="4" max="4" width="16.25" hidden="0" customWidth="1"/>
    <x:col min="5" max="5" width="19.3799991607666" hidden="0" customWidth="1"/>
    <x:col min="6" max="6" width="16.8799991607666" hidden="0" customWidth="1"/>
    <x:col min="7" max="7" width="12.5" hidden="0" customWidth="1"/>
    <x:col min="8" max="8" width="5.130000114440918" hidden="0" customWidth="1"/>
    <x:col min="9" max="9" width="8" hidden="0" customWidth="1"/>
  </x:cols>
  <x:sheetData>
    <x:row r="1">
      <x:c r="A1" s="6" t="str">
        <x:v>Control</x:v>
      </x:c>
      <x:c r="B1" s="12" t="str">
        <x:v>Frequency</x:v>
      </x:c>
      <x:c r="C1" s="12" t="str">
        <x:v>Owner</x:v>
      </x:c>
      <x:c r="D1" s="12" t="str">
        <x:v>Evidence</x:v>
      </x:c>
      <x:c r="E1" s="12" t="str">
        <x:v>Threshold</x:v>
      </x:c>
      <x:c r="F1" s="12" t="str">
        <x:v>Response</x:v>
      </x:c>
      <x:c r="G1" s="12" t="str">
        <x:v>Escalation</x:v>
      </x:c>
      <x:c r="H1" s="12" t="str">
        <x:v>Status</x:v>
      </x:c>
      <x:c r="I1" s="12" t="str">
        <x:v>Audit</x:v>
      </x:c>
    </x:row>
    <x:row r="2">
      <x:c r="A2" s="12" t="str">
        <x:v>Day-1 readiness gate</x:v>
      </x:c>
      <x:c r="B2" s="12" t="str">
        <x:v>Every hire</x:v>
      </x:c>
      <x:c r="C2" s="12" t="str">
        <x:v>People Ops</x:v>
      </x:c>
      <x:c r="D2" s="12" t="str">
        <x:v>Readiness tracker</x:v>
      </x:c>
      <x:c r="E2" s="12" t="str">
        <x:v>&gt;=96%</x:v>
      </x:c>
      <x:c r="F2" s="12" t="str">
        <x:v>Resolve/contingency</x:v>
      </x:c>
      <x:c r="G2" s="12" t="str">
        <x:v>People leader</x:v>
      </x:c>
      <x:c r="H2" s="12" t="str">
        <x:v>Active</x:v>
      </x:c>
      <x:c r="I2" s="12" t="str">
        <x:v>Weekly</x:v>
      </x:c>
    </x:row>
    <x:row r="3">
      <x:c r="A3" s="12" t="str">
        <x:v>Manager check-ins</x:v>
      </x:c>
      <x:c r="B3" s="12" t="str">
        <x:v>Weekly</x:v>
      </x:c>
      <x:c r="C3" s="12" t="str">
        <x:v>HRBP</x:v>
      </x:c>
      <x:c r="D3" s="12" t="str">
        <x:v>Check-in tracker</x:v>
      </x:c>
      <x:c r="E3" s="12" t="str">
        <x:v>&gt;=95%</x:v>
      </x:c>
      <x:c r="F3" s="12" t="str">
        <x:v>Coach exception</x:v>
      </x:c>
      <x:c r="G3" s="12" t="str">
        <x:v>People leader</x:v>
      </x:c>
      <x:c r="H3" s="12" t="str">
        <x:v>Active</x:v>
      </x:c>
      <x:c r="I3" s="12" t="str">
        <x:v>Weekly</x:v>
      </x:c>
    </x:row>
    <x:row r="4">
      <x:c r="A4" s="12" t="str">
        <x:v>Training completion</x:v>
      </x:c>
      <x:c r="B4" s="12" t="str">
        <x:v>Weekly</x:v>
      </x:c>
      <x:c r="C4" s="12" t="str">
        <x:v>L&amp;D</x:v>
      </x:c>
      <x:c r="D4" s="12" t="str">
        <x:v>LMS/report</x:v>
      </x:c>
      <x:c r="E4" s="12" t="str">
        <x:v>&gt;=97%</x:v>
      </x:c>
      <x:c r="F4" s="12" t="str">
        <x:v>Target overdue</x:v>
      </x:c>
      <x:c r="G4" s="12" t="str">
        <x:v>Manager/HR</x:v>
      </x:c>
      <x:c r="H4" s="12" t="str">
        <x:v>Active</x:v>
      </x:c>
      <x:c r="I4" s="12" t="str">
        <x:v>Weekly</x:v>
      </x:c>
    </x:row>
    <x:row r="5">
      <x:c r="A5" s="12" t="str">
        <x:v>SLA exceptions</x:v>
      </x:c>
      <x:c r="B5" s="12" t="str">
        <x:v>Weekly</x:v>
      </x:c>
      <x:c r="C5" s="12" t="str">
        <x:v>People Ops</x:v>
      </x:c>
      <x:c r="D5" s="12" t="str">
        <x:v>SLA log</x:v>
      </x:c>
      <x:c r="E5" s="12" t="str">
        <x:v>No critical overdue</x:v>
      </x:c>
      <x:c r="F5" s="12" t="str">
        <x:v>Root cause action</x:v>
      </x:c>
      <x:c r="G5" s="12" t="str">
        <x:v>Function leader</x:v>
      </x:c>
      <x:c r="H5" s="12" t="str">
        <x:v>Active</x:v>
      </x:c>
      <x:c r="I5" s="12" t="str">
        <x:v>Weekly</x:v>
      </x:c>
    </x:row>
    <x:row r="6">
      <x:c r="A6" s="12" t="str">
        <x:v>Employee feedback themes</x:v>
      </x:c>
      <x:c r="B6" s="12" t="str">
        <x:v>Monthly</x:v>
      </x:c>
      <x:c r="C6" s="12" t="str">
        <x:v>People Ops</x:v>
      </x:c>
      <x:c r="D6" s="12" t="str">
        <x:v>Aggregated feedback</x:v>
      </x:c>
      <x:c r="E6" s="12" t="str">
        <x:v>Material theme reviewed</x:v>
      </x:c>
      <x:c r="F6" s="12" t="str">
        <x:v>Assign action</x:v>
      </x:c>
      <x:c r="G6" s="12" t="str">
        <x:v>People leader</x:v>
      </x:c>
      <x:c r="H6" s="12" t="str">
        <x:v>Active</x:v>
      </x:c>
      <x:c r="I6" s="12" t="str">
        <x:v>Monthly</x:v>
      </x:c>
    </x:row>
    <x:row r="7">
      <x:c r="A7" s="12" t="str">
        <x:v>Retention-risk review</x:v>
      </x:c>
      <x:c r="B7" s="12" t="str">
        <x:v>Weekly</x:v>
      </x:c>
      <x:c r="C7" s="12" t="str">
        <x:v>Authorized People Ops</x:v>
      </x:c>
      <x:c r="D7" s="12" t="str">
        <x:v>Restricted review</x:v>
      </x:c>
      <x:c r="E7" s="12" t="str">
        <x:v>Validated support need</x:v>
      </x:c>
      <x:c r="F7" s="12" t="str">
        <x:v>Human intervention</x:v>
      </x:c>
      <x:c r="G7" s="12" t="str">
        <x:v>HR leadership</x:v>
      </x:c>
      <x:c r="H7" s="12" t="str">
        <x:v>Active</x:v>
      </x:c>
      <x:c r="I7" s="12" t="str">
        <x:v>Restricted</x:v>
      </x:c>
    </x:row>
    <x:row r="8">
      <x:c r="A8" s="12" t="str">
        <x:v>Data access review</x:v>
      </x:c>
      <x:c r="B8" s="12" t="str">
        <x:v>Quarterly</x:v>
      </x:c>
      <x:c r="C8" s="12" t="str">
        <x:v>People Ops/Security</x:v>
      </x:c>
      <x:c r="D8" s="12" t="str">
        <x:v>Access audit</x:v>
      </x:c>
      <x:c r="E8" s="12" t="str">
        <x:v>Need-to-know</x:v>
      </x:c>
      <x:c r="F8" s="12" t="str">
        <x:v>Remove excess access</x:v>
      </x:c>
      <x:c r="G8" s="12" t="str">
        <x:v>Privacy/Security</x:v>
      </x:c>
      <x:c r="H8" s="12" t="str">
        <x:v>Active</x:v>
      </x:c>
      <x:c r="I8" s="12" t="str">
        <x:v>Quarterly</x:v>
      </x:c>
    </x:row>
  </x:sheetData>
  <x:pageMargins left="0.7" right="0.7" top="0.75" bottom="0.75" header="0.3" footer="0.3"/>
</x:worksheet>
</file>