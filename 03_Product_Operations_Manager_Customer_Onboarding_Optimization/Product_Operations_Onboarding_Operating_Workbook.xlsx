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96b32e679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_Data" sheetId="1" r:id="R3eb22e3b460446f9"/>
    <x:sheet xmlns:r="http://schemas.openxmlformats.org/officeDocument/2006/relationships" name="Executive_Dashboard" sheetId="2" r:id="R7a8d467a282c48cb"/>
    <x:sheet xmlns:r="http://schemas.openxmlformats.org/officeDocument/2006/relationships" name="Cohort_Health" sheetId="3" r:id="Rd5d3d93832844dc5"/>
    <x:sheet xmlns:r="http://schemas.openxmlformats.org/officeDocument/2006/relationships" name="Action_Plan" sheetId="4" r:id="R59f7f5f7f26247ca"/>
    <x:sheet xmlns:r="http://schemas.openxmlformats.org/officeDocument/2006/relationships" name="Risk_Register" sheetId="5" r:id="Rbb95e6fc2af24ffd"/>
    <x:sheet xmlns:r="http://schemas.openxmlformats.org/officeDocument/2006/relationships" name="Handoff_Quality" sheetId="6" r:id="Rd0db6866507a43a4"/>
    <x:sheet xmlns:r="http://schemas.openxmlformats.org/officeDocument/2006/relationships" name="VOC_Product_Feedback" sheetId="7" r:id="Ra558ebebd9f445bd"/>
    <x:sheet xmlns:r="http://schemas.openxmlformats.org/officeDocument/2006/relationships" name="Experiment_Log" sheetId="8" r:id="R3d9025dec9b54aac"/>
    <x:sheet xmlns:r="http://schemas.openxmlformats.org/officeDocument/2006/relationships" name="Control_Log" sheetId="9" r:id="R9f036b7da1bf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26ae26cc84335" /><Relationship Type="http://schemas.openxmlformats.org/officeDocument/2006/relationships/theme" Target="/xl/theme/theme1.xml" Id="R9f32946622564708" /><Relationship Type="http://schemas.openxmlformats.org/officeDocument/2006/relationships/sharedStrings" Target="/xl/sharedStrings.xml" Id="R48c9c7d676a14a7d" /><Relationship Type="http://schemas.openxmlformats.org/officeDocument/2006/relationships/worksheet" Target="/xl/worksheets/sheet1.xml" Id="R3eb22e3b460446f9" /><Relationship Type="http://schemas.openxmlformats.org/officeDocument/2006/relationships/worksheet" Target="/xl/worksheets/sheet2.xml" Id="R7a8d467a282c48cb" /><Relationship Type="http://schemas.openxmlformats.org/officeDocument/2006/relationships/worksheet" Target="/xl/worksheets/sheet3.xml" Id="Rd5d3d93832844dc5" /><Relationship Type="http://schemas.openxmlformats.org/officeDocument/2006/relationships/worksheet" Target="/xl/worksheets/sheet4.xml" Id="R59f7f5f7f26247ca" /><Relationship Type="http://schemas.openxmlformats.org/officeDocument/2006/relationships/worksheet" Target="/xl/worksheets/sheet5.xml" Id="Rbb95e6fc2af24ffd" /><Relationship Type="http://schemas.openxmlformats.org/officeDocument/2006/relationships/worksheet" Target="/xl/worksheets/sheet6.xml" Id="Rd0db6866507a43a4" /><Relationship Type="http://schemas.openxmlformats.org/officeDocument/2006/relationships/worksheet" Target="/xl/worksheets/sheet7.xml" Id="Ra558ebebd9f445bd" /><Relationship Type="http://schemas.openxmlformats.org/officeDocument/2006/relationships/worksheet" Target="/xl/worksheets/sheet8.xml" Id="R3d9025dec9b54aac" /><Relationship Type="http://schemas.openxmlformats.org/officeDocument/2006/relationships/worksheet" Target="/xl/worksheets/sheet9.xml" Id="R9f036b7da1bf45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3f16d504a44068" /><Relationship Type="http://schemas.openxmlformats.org/officeDocument/2006/relationships/chart" Target="/xl/drawings/charts/chart2.xml" Id="R466f589389bc4d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14-Day Activation Trend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Activation</c:v>
          </c:tx>
          <c:marker>
            <c:symbol val="none"/>
          </c:marker>
          <c:cat>
            <c:strRef>
              <c:f>'Weekly_Data'!$A$2:$A$13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'Weekly_Data'!$D$2:$D$13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Median Time-to-Value Trend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Median TTV</c:v>
          </c:tx>
          <c:marker>
            <c:symbol val="none"/>
          </c:marker>
          <c:cat>
            <c:strRef>
              <c:f>'Weekly_Data'!$A$2:$A$13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'Weekly_Data'!$E$2:$E$13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3f16d504a44068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6f589389bc4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7916c4f120e402e" /></Relationships>
</file>

<file path=xl/worksheets/sheet1.xml><?xml version="1.0" encoding="utf-8"?>
<x:worksheet xmlns:x="http://schemas.openxmlformats.org/spreadsheetml/2006/main">
  <x:sheetFormatPr defaultRowHeight="15"/>
  <x:cols>
    <x:col min="1" max="1" width="4.880000114440918" hidden="0" customWidth="1"/>
    <x:col min="2" max="2" width="14.130000114440918" hidden="0" customWidth="1"/>
    <x:col min="3" max="3" width="10.880000114440918" hidden="0" customWidth="1"/>
    <x:col min="4" max="4" width="15.380000114440918" hidden="0" customWidth="1"/>
    <x:col min="5" max="5" width="13.5" hidden="0" customWidth="1"/>
    <x:col min="6" max="6" width="19.1299991607666" hidden="0" customWidth="1"/>
    <x:col min="7" max="7" width="15.630000114440918" hidden="0" customWidth="1"/>
    <x:col min="8" max="8" width="4.130000114440918" hidden="0" customWidth="1"/>
    <x:col min="9" max="9" width="9.75" hidden="0" customWidth="1"/>
    <x:col min="10" max="10" width="18.5" hidden="0" customWidth="1"/>
    <x:col min="11" max="11" width="22.6299991607666" hidden="0" customWidth="1"/>
    <x:col min="12" max="12" width="19.1299991607666" hidden="0" customWidth="1"/>
  </x:cols>
  <x:sheetData>
    <x:row r="1">
      <x:c r="A1" s="6" t="str">
        <x:v>Week</x:v>
      </x:c>
      <x:c r="B1" s="12" t="str">
        <x:v>Eligible Customers</x:v>
      </x:c>
      <x:c r="C1" s="12" t="str">
        <x:v>Completion %</x:v>
      </x:c>
      <x:c r="D1" s="12" t="str">
        <x:v>14-Day Activation %</x:v>
      </x:c>
      <x:c r="E1" s="12" t="str">
        <x:v>Median TTV Days</x:v>
      </x:c>
      <x:c r="F1" s="12" t="str">
        <x:v>Handoff Completeness %</x:v>
      </x:c>
      <x:c r="G1" s="12" t="str">
        <x:v>Setup Completion %</x:v>
      </x:c>
      <x:c r="H1" s="12" t="str">
        <x:v>CSAT</x:v>
      </x:c>
      <x:c r="I1" s="12" t="str">
        <x:v>Escalation %</x:v>
      </x:c>
      <x:c r="J1" s="12" t="str">
        <x:v>30-Day Retention Risk %</x:v>
      </x:c>
      <x:c r="K1" s="12" t="str">
        <x:v>Support Tickets per Customer</x:v>
      </x:c>
      <x:c r="L1" s="12" t="str">
        <x:v>Avg First Response Hours</x:v>
      </x:c>
    </x:row>
    <x:row r="2">
      <x:c r="A2" s="12" t="str">
        <x:v>W1</x:v>
      </x:c>
      <x:c r="B2" s="12" t="n">
        <x:v>100</x:v>
      </x:c>
      <x:c r="C2" s="32" t="n">
        <x:v>0.72</x:v>
      </x:c>
      <x:c r="D2" s="32" t="n">
        <x:v>0.61</x:v>
      </x:c>
      <x:c r="E2" s="12" t="n">
        <x:v>18</x:v>
      </x:c>
      <x:c r="F2" s="32" t="n">
        <x:v>0.68</x:v>
      </x:c>
      <x:c r="G2" s="32" t="n">
        <x:v>0.76</x:v>
      </x:c>
      <x:c r="H2" s="12" t="n">
        <x:v>3.8</x:v>
      </x:c>
      <x:c r="I2" s="32" t="n">
        <x:v>0.14</x:v>
      </x:c>
      <x:c r="J2" s="32" t="n">
        <x:v>0.19</x:v>
      </x:c>
      <x:c r="K2" s="12" t="n">
        <x:v>1.4</x:v>
      </x:c>
      <x:c r="L2" s="12" t="n">
        <x:v>8.2</x:v>
      </x:c>
    </x:row>
    <x:row r="3">
      <x:c r="A3" s="12" t="str">
        <x:v>W2</x:v>
      </x:c>
      <x:c r="B3" s="12" t="n">
        <x:v>104</x:v>
      </x:c>
      <x:c r="C3" s="32" t="n">
        <x:v>0.74</x:v>
      </x:c>
      <x:c r="D3" s="32" t="n">
        <x:v>0.63</x:v>
      </x:c>
      <x:c r="E3" s="12" t="n">
        <x:v>17</x:v>
      </x:c>
      <x:c r="F3" s="32" t="n">
        <x:v>0.72</x:v>
      </x:c>
      <x:c r="G3" s="32" t="n">
        <x:v>0.78</x:v>
      </x:c>
      <x:c r="H3" s="12" t="n">
        <x:v>3.9</x:v>
      </x:c>
      <x:c r="I3" s="32" t="n">
        <x:v>0.13</x:v>
      </x:c>
      <x:c r="J3" s="32" t="n">
        <x:v>0.18</x:v>
      </x:c>
      <x:c r="K3" s="12" t="n">
        <x:v>1.34</x:v>
      </x:c>
      <x:c r="L3" s="12" t="n">
        <x:v>7.8</x:v>
      </x:c>
    </x:row>
    <x:row r="4">
      <x:c r="A4" s="12" t="str">
        <x:v>W3</x:v>
      </x:c>
      <x:c r="B4" s="12" t="n">
        <x:v>98</x:v>
      </x:c>
      <x:c r="C4" s="32" t="n">
        <x:v>0.76</x:v>
      </x:c>
      <x:c r="D4" s="32" t="n">
        <x:v>0.65</x:v>
      </x:c>
      <x:c r="E4" s="12" t="n">
        <x:v>16</x:v>
      </x:c>
      <x:c r="F4" s="32" t="n">
        <x:v>0.77</x:v>
      </x:c>
      <x:c r="G4" s="32" t="n">
        <x:v>0.8</x:v>
      </x:c>
      <x:c r="H4" s="12" t="n">
        <x:v>4</x:v>
      </x:c>
      <x:c r="I4" s="32" t="n">
        <x:v>0.12</x:v>
      </x:c>
      <x:c r="J4" s="32" t="n">
        <x:v>0.17</x:v>
      </x:c>
      <x:c r="K4" s="12" t="n">
        <x:v>1.28</x:v>
      </x:c>
      <x:c r="L4" s="12" t="n">
        <x:v>7.1</x:v>
      </x:c>
    </x:row>
    <x:row r="5">
      <x:c r="A5" s="12" t="str">
        <x:v>W4</x:v>
      </x:c>
      <x:c r="B5" s="12" t="n">
        <x:v>108</x:v>
      </x:c>
      <x:c r="C5" s="32" t="n">
        <x:v>0.79</x:v>
      </x:c>
      <x:c r="D5" s="32" t="n">
        <x:v>0.68</x:v>
      </x:c>
      <x:c r="E5" s="12" t="n">
        <x:v>15</x:v>
      </x:c>
      <x:c r="F5" s="32" t="n">
        <x:v>0.82</x:v>
      </x:c>
      <x:c r="G5" s="32" t="n">
        <x:v>0.83</x:v>
      </x:c>
      <x:c r="H5" s="12" t="n">
        <x:v>4.1</x:v>
      </x:c>
      <x:c r="I5" s="32" t="n">
        <x:v>0.11</x:v>
      </x:c>
      <x:c r="J5" s="32" t="n">
        <x:v>0.15</x:v>
      </x:c>
      <x:c r="K5" s="12" t="n">
        <x:v>1.2</x:v>
      </x:c>
      <x:c r="L5" s="12" t="n">
        <x:v>6.5</x:v>
      </x:c>
    </x:row>
    <x:row r="6">
      <x:c r="A6" s="12" t="str">
        <x:v>W5</x:v>
      </x:c>
      <x:c r="B6" s="12" t="n">
        <x:v>112</x:v>
      </x:c>
      <x:c r="C6" s="32" t="n">
        <x:v>0.82</x:v>
      </x:c>
      <x:c r="D6" s="32" t="n">
        <x:v>0.71</x:v>
      </x:c>
      <x:c r="E6" s="12" t="n">
        <x:v>14</x:v>
      </x:c>
      <x:c r="F6" s="32" t="n">
        <x:v>0.86</x:v>
      </x:c>
      <x:c r="G6" s="32" t="n">
        <x:v>0.86</x:v>
      </x:c>
      <x:c r="H6" s="12" t="n">
        <x:v>4.2</x:v>
      </x:c>
      <x:c r="I6" s="32" t="n">
        <x:v>0.1</x:v>
      </x:c>
      <x:c r="J6" s="32" t="n">
        <x:v>0.14</x:v>
      </x:c>
      <x:c r="K6" s="12" t="n">
        <x:v>1.12</x:v>
      </x:c>
      <x:c r="L6" s="12" t="n">
        <x:v>5.8</x:v>
      </x:c>
    </x:row>
    <x:row r="7">
      <x:c r="A7" s="12" t="str">
        <x:v>W6</x:v>
      </x:c>
      <x:c r="B7" s="12" t="n">
        <x:v>105</x:v>
      </x:c>
      <x:c r="C7" s="32" t="n">
        <x:v>0.85</x:v>
      </x:c>
      <x:c r="D7" s="32" t="n">
        <x:v>0.75</x:v>
      </x:c>
      <x:c r="E7" s="12" t="n">
        <x:v>13</x:v>
      </x:c>
      <x:c r="F7" s="32" t="n">
        <x:v>0.89</x:v>
      </x:c>
      <x:c r="G7" s="32" t="n">
        <x:v>0.88</x:v>
      </x:c>
      <x:c r="H7" s="12" t="n">
        <x:v>4.3</x:v>
      </x:c>
      <x:c r="I7" s="32" t="n">
        <x:v>0.09</x:v>
      </x:c>
      <x:c r="J7" s="32" t="n">
        <x:v>0.12</x:v>
      </x:c>
      <x:c r="K7" s="12" t="n">
        <x:v>1.04</x:v>
      </x:c>
      <x:c r="L7" s="12" t="n">
        <x:v>5.1</x:v>
      </x:c>
    </x:row>
    <x:row r="8">
      <x:c r="A8" s="12" t="str">
        <x:v>W7</x:v>
      </x:c>
      <x:c r="B8" s="12" t="n">
        <x:v>116</x:v>
      </x:c>
      <x:c r="C8" s="32" t="n">
        <x:v>0.87</x:v>
      </x:c>
      <x:c r="D8" s="32" t="n">
        <x:v>0.78</x:v>
      </x:c>
      <x:c r="E8" s="12" t="n">
        <x:v>12</x:v>
      </x:c>
      <x:c r="F8" s="32" t="n">
        <x:v>0.91</x:v>
      </x:c>
      <x:c r="G8" s="32" t="n">
        <x:v>0.9</x:v>
      </x:c>
      <x:c r="H8" s="12" t="n">
        <x:v>4.3</x:v>
      </x:c>
      <x:c r="I8" s="32" t="n">
        <x:v>0.08</x:v>
      </x:c>
      <x:c r="J8" s="32" t="n">
        <x:v>0.11</x:v>
      </x:c>
      <x:c r="K8" s="12" t="n">
        <x:v>0.98</x:v>
      </x:c>
      <x:c r="L8" s="12" t="n">
        <x:v>4.6</x:v>
      </x:c>
    </x:row>
    <x:row r="9">
      <x:c r="A9" s="12" t="str">
        <x:v>W8</x:v>
      </x:c>
      <x:c r="B9" s="12" t="n">
        <x:v>120</x:v>
      </x:c>
      <x:c r="C9" s="32" t="n">
        <x:v>0.89</x:v>
      </x:c>
      <x:c r="D9" s="32" t="n">
        <x:v>0.8</x:v>
      </x:c>
      <x:c r="E9" s="12" t="n">
        <x:v>11</x:v>
      </x:c>
      <x:c r="F9" s="32" t="n">
        <x:v>0.93</x:v>
      </x:c>
      <x:c r="G9" s="32" t="n">
        <x:v>0.91</x:v>
      </x:c>
      <x:c r="H9" s="12" t="n">
        <x:v>4.4</x:v>
      </x:c>
      <x:c r="I9" s="32" t="n">
        <x:v>0.08</x:v>
      </x:c>
      <x:c r="J9" s="32" t="n">
        <x:v>0.1</x:v>
      </x:c>
      <x:c r="K9" s="12" t="n">
        <x:v>0.91</x:v>
      </x:c>
      <x:c r="L9" s="12" t="n">
        <x:v>4.1</x:v>
      </x:c>
    </x:row>
    <x:row r="10">
      <x:c r="A10" s="12" t="str">
        <x:v>W9</x:v>
      </x:c>
      <x:c r="B10" s="12" t="n">
        <x:v>118</x:v>
      </x:c>
      <x:c r="C10" s="32" t="n">
        <x:v>0.91</x:v>
      </x:c>
      <x:c r="D10" s="32" t="n">
        <x:v>0.83</x:v>
      </x:c>
      <x:c r="E10" s="12" t="n">
        <x:v>10</x:v>
      </x:c>
      <x:c r="F10" s="32" t="n">
        <x:v>0.94</x:v>
      </x:c>
      <x:c r="G10" s="32" t="n">
        <x:v>0.93</x:v>
      </x:c>
      <x:c r="H10" s="12" t="n">
        <x:v>4.5</x:v>
      </x:c>
      <x:c r="I10" s="32" t="n">
        <x:v>0.07</x:v>
      </x:c>
      <x:c r="J10" s="32" t="n">
        <x:v>0.09</x:v>
      </x:c>
      <x:c r="K10" s="12" t="n">
        <x:v>0.86</x:v>
      </x:c>
      <x:c r="L10" s="12" t="n">
        <x:v>3.7</x:v>
      </x:c>
    </x:row>
    <x:row r="11">
      <x:c r="A11" s="12" t="str">
        <x:v>W10</x:v>
      </x:c>
      <x:c r="B11" s="12" t="n">
        <x:v>125</x:v>
      </x:c>
      <x:c r="C11" s="32" t="n">
        <x:v>0.92</x:v>
      </x:c>
      <x:c r="D11" s="32" t="n">
        <x:v>0.85</x:v>
      </x:c>
      <x:c r="E11" s="12" t="n">
        <x:v>10</x:v>
      </x:c>
      <x:c r="F11" s="32" t="n">
        <x:v>0.95</x:v>
      </x:c>
      <x:c r="G11" s="32" t="n">
        <x:v>0.94</x:v>
      </x:c>
      <x:c r="H11" s="12" t="n">
        <x:v>4.5</x:v>
      </x:c>
      <x:c r="I11" s="32" t="n">
        <x:v>0.06</x:v>
      </x:c>
      <x:c r="J11" s="32" t="n">
        <x:v>0.08</x:v>
      </x:c>
      <x:c r="K11" s="12" t="n">
        <x:v>0.81</x:v>
      </x:c>
      <x:c r="L11" s="12" t="n">
        <x:v>3.3</x:v>
      </x:c>
    </x:row>
    <x:row r="12">
      <x:c r="A12" s="12" t="str">
        <x:v>W11</x:v>
      </x:c>
      <x:c r="B12" s="12" t="n">
        <x:v>122</x:v>
      </x:c>
      <x:c r="C12" s="32" t="n">
        <x:v>0.93</x:v>
      </x:c>
      <x:c r="D12" s="32" t="n">
        <x:v>0.86</x:v>
      </x:c>
      <x:c r="E12" s="12" t="n">
        <x:v>9</x:v>
      </x:c>
      <x:c r="F12" s="32" t="n">
        <x:v>0.96</x:v>
      </x:c>
      <x:c r="G12" s="32" t="n">
        <x:v>0.95</x:v>
      </x:c>
      <x:c r="H12" s="12" t="n">
        <x:v>4.6</x:v>
      </x:c>
      <x:c r="I12" s="32" t="n">
        <x:v>0.06</x:v>
      </x:c>
      <x:c r="J12" s="32" t="n">
        <x:v>0.08</x:v>
      </x:c>
      <x:c r="K12" s="12" t="n">
        <x:v>0.78</x:v>
      </x:c>
      <x:c r="L12" s="12" t="n">
        <x:v>3</x:v>
      </x:c>
    </x:row>
    <x:row r="13">
      <x:c r="A13" s="12" t="str">
        <x:v>W12</x:v>
      </x:c>
      <x:c r="B13" s="12" t="n">
        <x:v>128</x:v>
      </x:c>
      <x:c r="C13" s="32" t="n">
        <x:v>0.94</x:v>
      </x:c>
      <x:c r="D13" s="32" t="n">
        <x:v>0.87</x:v>
      </x:c>
      <x:c r="E13" s="12" t="n">
        <x:v>9</x:v>
      </x:c>
      <x:c r="F13" s="32" t="n">
        <x:v>0.97</x:v>
      </x:c>
      <x:c r="G13" s="32" t="n">
        <x:v>0.95</x:v>
      </x:c>
      <x:c r="H13" s="12" t="n">
        <x:v>4.6</x:v>
      </x:c>
      <x:c r="I13" s="32" t="n">
        <x:v>0.05</x:v>
      </x:c>
      <x:c r="J13" s="32" t="n">
        <x:v>0.07</x:v>
      </x:c>
      <x:c r="K13" s="12" t="n">
        <x:v>0.74</x:v>
      </x:c>
      <x:c r="L13" s="12" t="n">
        <x:v>2.8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</x:cols>
  <x:sheetData>
    <x:row r="1">
      <x:c r="A1" s="17" t="str">
        <x:v>CUSTOMER ONBOARDING OPTIMIZATION | EXECUTIVE OPERATING REVIEW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4">
      <x:c r="A4" s="6" t="str">
        <x:v>KPI</x:v>
      </x:c>
      <x:c r="B4" s="6" t="str">
        <x:v>Baseline</x:v>
      </x:c>
      <x:c r="C4" s="6" t="str">
        <x:v>Target</x:v>
      </x:c>
      <x:c r="D4" s="6" t="str">
        <x:v>Current</x:v>
      </x:c>
      <x:c r="E4" s="6" t="str">
        <x:v>Variance to Target</x:v>
      </x:c>
      <x:c r="F4" s="6" t="str">
        <x:v>Attainment</x:v>
      </x:c>
      <x:c r="G4" s="6" t="str">
        <x:v>Trend vs W1</x:v>
      </x:c>
      <x:c r="H4" s="6" t="str">
        <x:v>Health</x:v>
      </x:c>
    </x:row>
    <x:row r="5">
      <x:c r="A5" t="str">
        <x:v>Onboarding Completion %</x:v>
      </x:c>
      <x:c r="B5" s="28" t="n">
        <x:v>0.72</x:v>
      </x:c>
      <x:c r="C5" s="28" t="n">
        <x:v>0.92</x:v>
      </x:c>
      <x:c r="D5" s="28" t="n">
        <x:f>Weekly_Data!C13</x:f>
        <x:v>0.94</x:v>
      </x:c>
      <x:c r="E5" s="28" t="n">
        <x:f>D5-C5</x:f>
        <x:v>0.019999999999999907</x:v>
      </x:c>
      <x:c r="F5" s="28" t="n">
        <x:f>MIN(D5/C5,1)</x:f>
        <x:v>1</x:v>
      </x:c>
      <x:c r="G5" s="28" t="n">
        <x:f>D5-B5</x:f>
        <x:v>0.21999999999999997</x:v>
      </x:c>
      <x:c r="H5" t="str">
        <x:f>IF(D5&gt;=C5,"ON TRACK",IF(D5&gt;=C5*0.95,"AT RISK","OFF TRACK"))</x:f>
        <x:v>ON TRACK</x:v>
      </x:c>
    </x:row>
    <x:row r="6">
      <x:c r="A6" t="str">
        <x:v>14-Day Activation %</x:v>
      </x:c>
      <x:c r="B6" s="28" t="n">
        <x:v>0.61</x:v>
      </x:c>
      <x:c r="C6" s="28" t="n">
        <x:v>0.85</x:v>
      </x:c>
      <x:c r="D6" s="28" t="n">
        <x:f>Weekly_Data!D13</x:f>
        <x:v>0.87</x:v>
      </x:c>
      <x:c r="E6" s="28" t="n">
        <x:f>D6-C6</x:f>
        <x:v>0.020000000000000018</x:v>
      </x:c>
      <x:c r="F6" s="28" t="n">
        <x:f>MIN(D6/C6,1)</x:f>
        <x:v>1</x:v>
      </x:c>
      <x:c r="G6" s="28" t="n">
        <x:f>D6-B6</x:f>
        <x:v>0.26</x:v>
      </x:c>
      <x:c r="H6" t="str">
        <x:f>IF(D6&gt;=C6,"ON TRACK",IF(D6&gt;=C6*0.95,"AT RISK","OFF TRACK"))</x:f>
        <x:v>ON TRACK</x:v>
      </x:c>
    </x:row>
    <x:row r="7">
      <x:c r="A7" t="str">
        <x:v>Median TTV Days</x:v>
      </x:c>
      <x:c r="B7" s="30" t="n">
        <x:v>18</x:v>
      </x:c>
      <x:c r="C7" s="30" t="n">
        <x:v>10</x:v>
      </x:c>
      <x:c r="D7" s="30" t="n">
        <x:f>Weekly_Data!E13</x:f>
        <x:v>9</x:v>
      </x:c>
      <x:c r="E7" s="30" t="n">
        <x:f>C7-D7</x:f>
        <x:v>1</x:v>
      </x:c>
      <x:c r="F7" s="28" t="n">
        <x:f>IF(D7&lt;=C7,1,C7/D7)</x:f>
        <x:v>1</x:v>
      </x:c>
      <x:c r="G7" t="n">
        <x:f>B7-D7</x:f>
        <x:v>9</x:v>
      </x:c>
      <x:c r="H7" t="str">
        <x:f>IF(D7&lt;=C7,"ON TRACK",IF(D7&lt;=C7*1.1,"AT RISK","OFF TRACK"))</x:f>
        <x:v>ON TRACK</x:v>
      </x:c>
    </x:row>
    <x:row r="8">
      <x:c r="A8" t="str">
        <x:v>Handoff Completeness %</x:v>
      </x:c>
      <x:c r="B8" s="28" t="n">
        <x:v>0.68</x:v>
      </x:c>
      <x:c r="C8" s="28" t="n">
        <x:v>0.95</x:v>
      </x:c>
      <x:c r="D8" s="28" t="n">
        <x:f>Weekly_Data!F13</x:f>
        <x:v>0.97</x:v>
      </x:c>
      <x:c r="E8" s="28" t="n">
        <x:f>D8-C8</x:f>
        <x:v>0.020000000000000018</x:v>
      </x:c>
      <x:c r="F8" s="28" t="n">
        <x:f>MIN(D8/C8,1)</x:f>
        <x:v>1</x:v>
      </x:c>
      <x:c r="G8" s="28" t="n">
        <x:f>D8-B8</x:f>
        <x:v>0.2899999999999999</x:v>
      </x:c>
      <x:c r="H8" t="str">
        <x:f>IF(D8&gt;=C8,"ON TRACK",IF(D8&gt;=C8*0.95,"AT RISK","OFF TRACK"))</x:f>
        <x:v>ON TRACK</x:v>
      </x:c>
    </x:row>
    <x:row r="9">
      <x:c r="A9" t="str">
        <x:v>Setup Completion %</x:v>
      </x:c>
      <x:c r="B9" s="28" t="n">
        <x:v>0.76</x:v>
      </x:c>
      <x:c r="C9" s="28" t="n">
        <x:v>0.94</x:v>
      </x:c>
      <x:c r="D9" s="28" t="n">
        <x:f>Weekly_Data!G13</x:f>
        <x:v>0.95</x:v>
      </x:c>
      <x:c r="E9" s="28" t="n">
        <x:f>D9-C9</x:f>
        <x:v>0.010000000000000009</x:v>
      </x:c>
      <x:c r="F9" s="28" t="n">
        <x:f>MIN(D9/C9,1)</x:f>
        <x:v>1</x:v>
      </x:c>
      <x:c r="G9" s="28" t="n">
        <x:f>D9-B9</x:f>
        <x:v>0.18999999999999995</x:v>
      </x:c>
      <x:c r="H9" t="str">
        <x:f>IF(D9&gt;=C9,"ON TRACK",IF(D9&gt;=C9*0.95,"AT RISK","OFF TRACK"))</x:f>
        <x:v>ON TRACK</x:v>
      </x:c>
    </x:row>
    <x:row r="10">
      <x:c r="A10" t="str">
        <x:v>CSAT</x:v>
      </x:c>
      <x:c r="B10" s="30" t="n">
        <x:v>3.8</x:v>
      </x:c>
      <x:c r="C10" s="30" t="n">
        <x:v>4.5</x:v>
      </x:c>
      <x:c r="D10" s="30" t="n">
        <x:f>Weekly_Data!H13</x:f>
        <x:v>4.6</x:v>
      </x:c>
      <x:c r="E10" s="30" t="n">
        <x:f>D10-C10</x:f>
        <x:v>0.09999999999999964</x:v>
      </x:c>
      <x:c r="F10" s="28" t="n">
        <x:f>MIN(D10/C10,1)</x:f>
        <x:v>1</x:v>
      </x:c>
      <x:c r="G10" t="n">
        <x:f>D10-B10</x:f>
        <x:v>0.7999999999999998</x:v>
      </x:c>
      <x:c r="H10" t="str">
        <x:f>IF(D10&gt;=C10,"ON TRACK",IF(D10&gt;=C10*0.97,"AT RISK","OFF TRACK"))</x:f>
        <x:v>ON TRACK</x:v>
      </x:c>
    </x:row>
    <x:row r="11">
      <x:c r="A11" t="str">
        <x:v>Escalation %</x:v>
      </x:c>
      <x:c r="B11" s="28" t="n">
        <x:v>0.14</x:v>
      </x:c>
      <x:c r="C11" s="28" t="n">
        <x:v>0.06</x:v>
      </x:c>
      <x:c r="D11" s="28" t="n">
        <x:f>Weekly_Data!I13</x:f>
        <x:v>0.05</x:v>
      </x:c>
      <x:c r="E11" s="28" t="n">
        <x:f>C11-D11</x:f>
        <x:v>0.009999999999999995</x:v>
      </x:c>
      <x:c r="F11" s="28" t="n">
        <x:f>IF(D11&lt;=C11,1,C11/D11)</x:f>
        <x:v>1</x:v>
      </x:c>
      <x:c r="G11" s="28" t="n">
        <x:f>B11-D11</x:f>
        <x:v>0.09000000000000001</x:v>
      </x:c>
      <x:c r="H11" t="str">
        <x:f>IF(D11&lt;=C11,"ON TRACK",IF(D11&lt;=C11*1.15,"AT RISK","OFF TRACK"))</x:f>
        <x:v>ON TRACK</x:v>
      </x:c>
    </x:row>
    <x:row r="12">
      <x:c r="A12" t="str">
        <x:v>30-Day Retention Risk %</x:v>
      </x:c>
      <x:c r="B12" s="28" t="n">
        <x:v>0.19</x:v>
      </x:c>
      <x:c r="C12" s="28" t="n">
        <x:v>0.08</x:v>
      </x:c>
      <x:c r="D12" s="28" t="n">
        <x:f>Weekly_Data!J13</x:f>
        <x:v>0.07</x:v>
      </x:c>
      <x:c r="E12" s="28" t="n">
        <x:f>C12-D12</x:f>
        <x:v>0.009999999999999995</x:v>
      </x:c>
      <x:c r="F12" s="28" t="n">
        <x:f>IF(D12&lt;=C12,1,C12/D12)</x:f>
        <x:v>1</x:v>
      </x:c>
      <x:c r="G12" s="28" t="n">
        <x:f>B12-D12</x:f>
        <x:v>0.12</x:v>
      </x:c>
      <x:c r="H12" t="str">
        <x:f>IF(D12&lt;=C12,"ON TRACK",IF(D12&lt;=C12*1.15,"AT RISK","OFF TRACK"))</x:f>
        <x:v>ON TRACK</x:v>
      </x:c>
    </x:row>
    <x:row r="15">
      <x:c r="A15" s="23" t="str">
        <x:v>EXECUTIVE COMMENTARY</x:v>
      </x:c>
      <x:c r="B15" s="23"/>
      <x:c r="C15" s="23"/>
      <x:c r="D15" s="23"/>
      <x:c r="E15" s="23"/>
      <x:c r="F15" s="23"/>
      <x:c r="H15" s="6" t="str">
        <x:v>TOP PRIORITIES</x:v>
      </x:c>
      <x:c r="I15" s="6" t="str">
        <x:v>Owner</x:v>
      </x:c>
      <x:c r="J15" s="6" t="str">
        <x:v>Due</x:v>
      </x:c>
      <x:c r="K15" s="6" t="str">
        <x:v>Status</x:v>
      </x:c>
      <x:c r="L15" s="6" t="str">
        <x:v>Management Response</x:v>
      </x:c>
    </x:row>
    <x:row r="16">
      <x:c r="A16" s="26" t="str">
        <x:v>WHAT HAPPENED: Modeled Week 12 reached or exceeded all eight onboarding targets.
WHY: Handoff acceptance, milestone standards, proactive stalled-account detection, segment-based activation, and integrated VOC/support governance reduced friction.
WHAT WE ARE DOING: Sustain controls, audit low-performing cohorts, automate repeatable alerts, and continue product-feedback closure.
DECISION NEEDED: Approve transition from optimization cadence to 90-day sustainment governance.</x:v>
      </x:c>
      <x:c r="B16" s="26"/>
      <x:c r="C16" s="26"/>
      <x:c r="D16" s="26"/>
      <x:c r="E16" s="26"/>
      <x:c r="F16" s="26"/>
      <x:c r="H16" t="str">
        <x:v>Protect activation gains</x:v>
      </x:c>
      <x:c r="I16" t="str">
        <x:v>Product Ops</x:v>
      </x:c>
      <x:c r="J16" t="str">
        <x:v>W13</x:v>
      </x:c>
      <x:c r="K16" t="str">
        <x:v>In Progress</x:v>
      </x:c>
      <x:c r="L16" t="str">
        <x:v>Monitor Day-10 non-activation cohorts</x:v>
      </x:c>
    </x:row>
    <x:row r="17">
      <x:c r="A17" s="26"/>
      <x:c r="B17" s="26"/>
      <x:c r="C17" s="26"/>
      <x:c r="D17" s="26"/>
      <x:c r="E17" s="26"/>
      <x:c r="F17" s="26"/>
      <x:c r="H17" t="str">
        <x:v>Sustain handoff quality</x:v>
      </x:c>
      <x:c r="I17" t="str">
        <x:v>Sales Ops</x:v>
      </x:c>
      <x:c r="J17" t="str">
        <x:v>W13</x:v>
      </x:c>
      <x:c r="K17" t="str">
        <x:v>In Progress</x:v>
      </x:c>
      <x:c r="L17" t="str">
        <x:v>Weekly completeness audit</x:v>
      </x:c>
    </x:row>
    <x:row r="18">
      <x:c r="A18" s="26"/>
      <x:c r="B18" s="26"/>
      <x:c r="C18" s="26"/>
      <x:c r="D18" s="26"/>
      <x:c r="E18" s="26"/>
      <x:c r="F18" s="26"/>
      <x:c r="H18" t="str">
        <x:v>Reduce support friction</x:v>
      </x:c>
      <x:c r="I18" t="str">
        <x:v>Support Ops</x:v>
      </x:c>
      <x:c r="J18" t="str">
        <x:v>W14</x:v>
      </x:c>
      <x:c r="K18" t="str">
        <x:v>In Progress</x:v>
      </x:c>
      <x:c r="L18" t="str">
        <x:v>Close top recurring setup themes</x:v>
      </x:c>
    </x:row>
    <x:row r="19">
      <x:c r="A19" s="26"/>
      <x:c r="B19" s="26"/>
      <x:c r="C19" s="26"/>
      <x:c r="D19" s="26"/>
      <x:c r="E19" s="26"/>
      <x:c r="F19" s="26"/>
      <x:c r="H19" t="str">
        <x:v>Scale proven workflow</x:v>
      </x:c>
      <x:c r="I19" t="str">
        <x:v>CS Ops</x:v>
      </x:c>
      <x:c r="J19" t="str">
        <x:v>W14</x:v>
      </x:c>
      <x:c r="K19" t="str">
        <x:v>Planned</x:v>
      </x:c>
      <x:c r="L19" t="str">
        <x:v>Standardize playbook across segments</x:v>
      </x:c>
    </x:row>
    <x:row r="20">
      <x:c r="A20" s="26"/>
      <x:c r="B20" s="26"/>
      <x:c r="C20" s="26"/>
      <x:c r="D20" s="26"/>
      <x:c r="E20" s="26"/>
      <x:c r="F20" s="26"/>
    </x:row>
  </x:sheetData>
  <x:mergeCells>
    <x:mergeCell ref="A1:L2"/>
    <x:mergeCell ref="A15:F15"/>
    <x:mergeCell ref="A16:F20"/>
  </x:mergeCells>
  <x:conditionalFormatting sqref="H5:H12">
    <x:cfRule type="expression" dxfId="0" priority="1">
      <x:formula>H5="ON TRACK"</x:formula>
    </x:cfRule>
    <x:cfRule type="expression" dxfId="1" priority="2">
      <x:formula>H5="AT RISK"</x:formula>
    </x:cfRule>
    <x:cfRule type="expression" dxfId="2" priority="3">
      <x:formula>H5="OFF TRACK"</x:formula>
    </x:cfRule>
  </x:conditionalFormatting>
  <x:conditionalFormatting sqref="F5:F12">
    <x:cfRule type="dataBar" priority="4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{E2B0229A-B8A0-18A0-91E7-8AEF68C0D762}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87916c4f120e402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E2B0229A-B8A0-18A0-91E7-8AEF68C0D762}">
            <x14:dataBar gradient="1">
              <x14:cfvo type="min"/>
              <x14:cfvo type="max"/>
              <x14:fillColor rgb="FF4472C4"/>
            </x14:dataBar>
          </x14:cfRule>
          <xm:sqref>F5:F12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8.5" hidden="0" customWidth="1"/>
    <x:col min="3" max="3" width="10.880000114440918" hidden="0" customWidth="1"/>
    <x:col min="4" max="4" width="9.75" hidden="0" customWidth="1"/>
    <x:col min="5" max="5" width="9.5" hidden="0" customWidth="1"/>
    <x:col min="6" max="6" width="4.130000114440918" hidden="0" customWidth="1"/>
    <x:col min="7" max="7" width="5.25" hidden="0" customWidth="1"/>
    <x:col min="8" max="8" width="5.630000114440918" hidden="0" customWidth="1"/>
    <x:col min="9" max="9" width="30.3799991607666" hidden="0" customWidth="1"/>
  </x:cols>
  <x:sheetData>
    <x:row r="1">
      <x:c r="A1" s="6" t="str">
        <x:v>Cohort</x:v>
      </x:c>
      <x:c r="B1" s="12" t="str">
        <x:v>Customers</x:v>
      </x:c>
      <x:c r="C1" s="12" t="str">
        <x:v>Completion %</x:v>
      </x:c>
      <x:c r="D1" s="12" t="str">
        <x:v>Activation %</x:v>
      </x:c>
      <x:c r="E1" s="12" t="str">
        <x:v>Median TTV</x:v>
      </x:c>
      <x:c r="F1" s="12" t="str">
        <x:v>CSAT</x:v>
      </x:c>
      <x:c r="G1" s="12" t="str">
        <x:v>Risk %</x:v>
      </x:c>
      <x:c r="H1" s="12" t="str">
        <x:v>Health</x:v>
      </x:c>
      <x:c r="I1" s="12" t="str">
        <x:v>Management Action</x:v>
      </x:c>
    </x:row>
    <x:row r="2">
      <x:c r="A2" s="12" t="str">
        <x:v>SMB - Standard</x:v>
      </x:c>
      <x:c r="B2" s="12" t="n">
        <x:v>52</x:v>
      </x:c>
      <x:c r="C2" s="12" t="n">
        <x:v>0.96</x:v>
      </x:c>
      <x:c r="D2" s="12" t="n">
        <x:v>0.9</x:v>
      </x:c>
      <x:c r="E2" s="12" t="n">
        <x:v>7</x:v>
      </x:c>
      <x:c r="F2" s="12" t="n">
        <x:v>4.7</x:v>
      </x:c>
      <x:c r="G2" s="12" t="n">
        <x:v>0.05</x:v>
      </x:c>
      <x:c r="H2" s="12" t="str">
        <x:v>Green</x:v>
      </x:c>
      <x:c r="I2" s="12" t="str">
        <x:v>Maintain automated path</x:v>
      </x:c>
    </x:row>
    <x:row r="3">
      <x:c r="A3" s="12" t="str">
        <x:v>SMB - Integrated</x:v>
      </x:c>
      <x:c r="B3" s="12" t="n">
        <x:v>28</x:v>
      </x:c>
      <x:c r="C3" s="12" t="n">
        <x:v>0.93</x:v>
      </x:c>
      <x:c r="D3" s="12" t="n">
        <x:v>0.86</x:v>
      </x:c>
      <x:c r="E3" s="12" t="n">
        <x:v>9</x:v>
      </x:c>
      <x:c r="F3" s="12" t="n">
        <x:v>4.6</x:v>
      </x:c>
      <x:c r="G3" s="12" t="n">
        <x:v>0.07</x:v>
      </x:c>
      <x:c r="H3" s="12" t="str">
        <x:v>Green</x:v>
      </x:c>
      <x:c r="I3" s="12" t="str">
        <x:v>Monitor integration prerequisites</x:v>
      </x:c>
    </x:row>
    <x:row r="4">
      <x:c r="A4" s="12" t="str">
        <x:v>Mid-Market</x:v>
      </x:c>
      <x:c r="B4" s="12" t="n">
        <x:v>24</x:v>
      </x:c>
      <x:c r="C4" s="12" t="n">
        <x:v>0.92</x:v>
      </x:c>
      <x:c r="D4" s="12" t="n">
        <x:v>0.84</x:v>
      </x:c>
      <x:c r="E4" s="12" t="n">
        <x:v>10</x:v>
      </x:c>
      <x:c r="F4" s="12" t="n">
        <x:v>4.5</x:v>
      </x:c>
      <x:c r="G4" s="12" t="n">
        <x:v>0.08</x:v>
      </x:c>
      <x:c r="H4" s="12" t="str">
        <x:v>Green</x:v>
      </x:c>
      <x:c r="I4" s="12" t="str">
        <x:v>Protect kickoff and admin training</x:v>
      </x:c>
    </x:row>
    <x:row r="5">
      <x:c r="A5" s="12" t="str">
        <x:v>Enterprise</x:v>
      </x:c>
      <x:c r="B5" s="12" t="n">
        <x:v>12</x:v>
      </x:c>
      <x:c r="C5" s="12" t="n">
        <x:v>0.88</x:v>
      </x:c>
      <x:c r="D5" s="12" t="n">
        <x:v>0.79</x:v>
      </x:c>
      <x:c r="E5" s="12" t="n">
        <x:v>13</x:v>
      </x:c>
      <x:c r="F5" s="12" t="n">
        <x:v>4.3</x:v>
      </x:c>
      <x:c r="G5" s="12" t="n">
        <x:v>0.14</x:v>
      </x:c>
      <x:c r="H5" s="12" t="str">
        <x:v>Amber</x:v>
      </x:c>
      <x:c r="I5" s="12" t="str">
        <x:v>Dedicated risk review and technical plan</x:v>
      </x:c>
    </x:row>
    <x:row r="6">
      <x:c r="A6" s="12" t="str">
        <x:v>New Use Case</x:v>
      </x:c>
      <x:c r="B6" s="12" t="n">
        <x:v>7</x:v>
      </x:c>
      <x:c r="C6" s="12" t="n">
        <x:v>0.86</x:v>
      </x:c>
      <x:c r="D6" s="12" t="n">
        <x:v>0.76</x:v>
      </x:c>
      <x:c r="E6" s="12" t="n">
        <x:v>14</x:v>
      </x:c>
      <x:c r="F6" s="12" t="n">
        <x:v>4.2</x:v>
      </x:c>
      <x:c r="G6" s="12" t="n">
        <x:v>0.16</x:v>
      </x:c>
      <x:c r="H6" s="12" t="str">
        <x:v>Amber</x:v>
      </x:c>
      <x:c r="I6" s="12" t="str">
        <x:v>Validate first-value definition</x:v>
      </x:c>
    </x:row>
    <x:row r="7">
      <x:c r="A7" s="12" t="str">
        <x:v>High Support Need</x:v>
      </x:c>
      <x:c r="B7" s="12" t="n">
        <x:v>5</x:v>
      </x:c>
      <x:c r="C7" s="12" t="n">
        <x:v>0.8</x:v>
      </x:c>
      <x:c r="D7" s="12" t="n">
        <x:v>0.7</x:v>
      </x:c>
      <x:c r="E7" s="12" t="n">
        <x:v>16</x:v>
      </x:c>
      <x:c r="F7" s="12" t="n">
        <x:v>4</x:v>
      </x:c>
      <x:c r="G7" s="12" t="n">
        <x:v>0.22</x:v>
      </x:c>
      <x:c r="H7" s="12" t="str">
        <x:v>Red</x:v>
      </x:c>
      <x:c r="I7" s="12" t="str">
        <x:v>Executive recovery plan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10.380000114440918" hidden="0" customWidth="1"/>
    <x:col min="3" max="3" width="31.5" hidden="0" customWidth="1"/>
    <x:col min="4" max="4" width="10" hidden="0" customWidth="1"/>
    <x:col min="5" max="5" width="4.130000114440918" hidden="0" customWidth="1"/>
    <x:col min="6" max="6" width="4" hidden="0" customWidth="1"/>
    <x:col min="7" max="7" width="6.880000114440918" hidden="0" customWidth="1"/>
    <x:col min="8" max="8" width="9.880000114440918" hidden="0" customWidth="1"/>
    <x:col min="9" max="9" width="8.75" hidden="0" customWidth="1"/>
    <x:col min="10" max="10" width="15.5" hidden="0" customWidth="1"/>
  </x:cols>
  <x:sheetData>
    <x:row r="1">
      <x:c r="A1" s="6" t="str">
        <x:v>ID</x:v>
      </x:c>
      <x:c r="B1" s="12" t="str">
        <x:v>Workstream</x:v>
      </x:c>
      <x:c r="C1" s="12" t="str">
        <x:v>Action</x:v>
      </x:c>
      <x:c r="D1" s="12" t="str">
        <x:v>Owner</x:v>
      </x:c>
      <x:c r="E1" s="12" t="str">
        <x:v>Start</x:v>
      </x:c>
      <x:c r="F1" s="12" t="str">
        <x:v>Due</x:v>
      </x:c>
      <x:c r="G1" s="12" t="str">
        <x:v>Priority</x:v>
      </x:c>
      <x:c r="H1" s="12" t="str">
        <x:v>Dependency</x:v>
      </x:c>
      <x:c r="I1" s="12" t="str">
        <x:v>Status</x:v>
      </x:c>
      <x:c r="J1" s="12" t="str">
        <x:v>Evidence</x:v>
      </x:c>
    </x:row>
    <x:row r="2">
      <x:c r="A2" s="12" t="str">
        <x:v>A01</x:v>
      </x:c>
      <x:c r="B2" s="12" t="str">
        <x:v>Handoff</x:v>
      </x:c>
      <x:c r="C2" s="12" t="str">
        <x:v>Launch required-field acceptance gate</x:v>
      </x:c>
      <x:c r="D2" s="12" t="str">
        <x:v>Sales Ops</x:v>
      </x:c>
      <x:c r="E2" s="12" t="str">
        <x:v>W2</x:v>
      </x:c>
      <x:c r="F2" s="12" t="str">
        <x:v>W4</x:v>
      </x:c>
      <x:c r="G2" s="12" t="str">
        <x:v>High</x:v>
      </x:c>
      <x:c r="H2" s="12" t="str"/>
      <x:c r="I2" s="12" t="str">
        <x:v>Complete</x:v>
      </x:c>
      <x:c r="J2" s="12" t="str">
        <x:v>Handoff audit</x:v>
      </x:c>
    </x:row>
    <x:row r="3">
      <x:c r="A3" s="12" t="str">
        <x:v>A02</x:v>
      </x:c>
      <x:c r="B3" s="12" t="str">
        <x:v>Journey</x:v>
      </x:c>
      <x:c r="C3" s="12" t="str">
        <x:v>Standardize milestone definitions</x:v>
      </x:c>
      <x:c r="D3" s="12" t="str">
        <x:v>Product Ops</x:v>
      </x:c>
      <x:c r="E3" s="12" t="str">
        <x:v>W2</x:v>
      </x:c>
      <x:c r="F3" s="12" t="str">
        <x:v>W4</x:v>
      </x:c>
      <x:c r="G3" s="12" t="str">
        <x:v>High</x:v>
      </x:c>
      <x:c r="H3" s="12" t="str">
        <x:v>A01</x:v>
      </x:c>
      <x:c r="I3" s="12" t="str">
        <x:v>Complete</x:v>
      </x:c>
      <x:c r="J3" s="12" t="str">
        <x:v>Playbook</x:v>
      </x:c>
    </x:row>
    <x:row r="4">
      <x:c r="A4" s="12" t="str">
        <x:v>A03</x:v>
      </x:c>
      <x:c r="B4" s="12" t="str">
        <x:v>Activation</x:v>
      </x:c>
      <x:c r="C4" s="12" t="str">
        <x:v>Define first-value event by segment</x:v>
      </x:c>
      <x:c r="D4" s="12" t="str">
        <x:v>Product + CS</x:v>
      </x:c>
      <x:c r="E4" s="12" t="str">
        <x:v>W3</x:v>
      </x:c>
      <x:c r="F4" s="12" t="str">
        <x:v>W5</x:v>
      </x:c>
      <x:c r="G4" s="12" t="str">
        <x:v>High</x:v>
      </x:c>
      <x:c r="H4" s="12" t="str">
        <x:v>A02</x:v>
      </x:c>
      <x:c r="I4" s="12" t="str">
        <x:v>Complete</x:v>
      </x:c>
      <x:c r="J4" s="12" t="str">
        <x:v>Metric spec</x:v>
      </x:c>
    </x:row>
    <x:row r="5">
      <x:c r="A5" s="12" t="str">
        <x:v>A04</x:v>
      </x:c>
      <x:c r="B5" s="12" t="str">
        <x:v>Risk</x:v>
      </x:c>
      <x:c r="C5" s="12" t="str">
        <x:v>Implement Day-10 stalled-account review</x:v>
      </x:c>
      <x:c r="D5" s="12" t="str">
        <x:v>CS Ops</x:v>
      </x:c>
      <x:c r="E5" s="12" t="str">
        <x:v>W4</x:v>
      </x:c>
      <x:c r="F5" s="12" t="str">
        <x:v>W6</x:v>
      </x:c>
      <x:c r="G5" s="12" t="str">
        <x:v>High</x:v>
      </x:c>
      <x:c r="H5" s="12" t="str">
        <x:v>A03</x:v>
      </x:c>
      <x:c r="I5" s="12" t="str">
        <x:v>Complete</x:v>
      </x:c>
      <x:c r="J5" s="12" t="str">
        <x:v>Risk queue</x:v>
      </x:c>
    </x:row>
    <x:row r="6">
      <x:c r="A6" s="12" t="str">
        <x:v>A05</x:v>
      </x:c>
      <x:c r="B6" s="12" t="str">
        <x:v>Support/VOC</x:v>
      </x:c>
      <x:c r="C6" s="12" t="str">
        <x:v>Create onboarding feedback taxonomy</x:v>
      </x:c>
      <x:c r="D6" s="12" t="str">
        <x:v>Support Ops</x:v>
      </x:c>
      <x:c r="E6" s="12" t="str">
        <x:v>W4</x:v>
      </x:c>
      <x:c r="F6" s="12" t="str">
        <x:v>W6</x:v>
      </x:c>
      <x:c r="G6" s="12" t="str">
        <x:v>Medium</x:v>
      </x:c>
      <x:c r="H6" s="12" t="str">
        <x:v>A02</x:v>
      </x:c>
      <x:c r="I6" s="12" t="str">
        <x:v>Complete</x:v>
      </x:c>
      <x:c r="J6" s="12" t="str">
        <x:v>VOC log</x:v>
      </x:c>
    </x:row>
    <x:row r="7">
      <x:c r="A7" s="12" t="str">
        <x:v>A06</x:v>
      </x:c>
      <x:c r="B7" s="12" t="str">
        <x:v>Experiment</x:v>
      </x:c>
      <x:c r="C7" s="12" t="str">
        <x:v>Pilot prerequisite checklist</x:v>
      </x:c>
      <x:c r="D7" s="12" t="str">
        <x:v>Product Ops</x:v>
      </x:c>
      <x:c r="E7" s="12" t="str">
        <x:v>W6</x:v>
      </x:c>
      <x:c r="F7" s="12" t="str">
        <x:v>W8</x:v>
      </x:c>
      <x:c r="G7" s="12" t="str">
        <x:v>Medium</x:v>
      </x:c>
      <x:c r="H7" s="12" t="str">
        <x:v>A02</x:v>
      </x:c>
      <x:c r="I7" s="12" t="str">
        <x:v>Complete</x:v>
      </x:c>
      <x:c r="J7" s="12" t="str">
        <x:v>Experiment readout</x:v>
      </x:c>
    </x:row>
    <x:row r="8">
      <x:c r="A8" s="12" t="str">
        <x:v>A07</x:v>
      </x:c>
      <x:c r="B8" s="12" t="str">
        <x:v>Governance</x:v>
      </x:c>
      <x:c r="C8" s="12" t="str">
        <x:v>Launch weekly onboarding review</x:v>
      </x:c>
      <x:c r="D8" s="12" t="str">
        <x:v>Product Ops</x:v>
      </x:c>
      <x:c r="E8" s="12" t="str">
        <x:v>W5</x:v>
      </x:c>
      <x:c r="F8" s="12" t="str">
        <x:v>W12</x:v>
      </x:c>
      <x:c r="G8" s="12" t="str">
        <x:v>High</x:v>
      </x:c>
      <x:c r="H8" s="12" t="str">
        <x:v>A01-A05</x:v>
      </x:c>
      <x:c r="I8" s="12" t="str">
        <x:v>In Progress</x:v>
      </x:c>
      <x:c r="J8" s="12" t="str">
        <x:v>Weekly readout</x:v>
      </x:c>
    </x:row>
    <x:row r="9">
      <x:c r="A9" s="12" t="str">
        <x:v>A08</x:v>
      </x:c>
      <x:c r="B9" s="12" t="str">
        <x:v>Sustainment</x:v>
      </x:c>
      <x:c r="C9" s="12" t="str">
        <x:v>Transfer controls to BAU owners</x:v>
      </x:c>
      <x:c r="D9" s="12" t="str">
        <x:v>CS Ops</x:v>
      </x:c>
      <x:c r="E9" s="12" t="str">
        <x:v>W11</x:v>
      </x:c>
      <x:c r="F9" s="12" t="str">
        <x:v>W14</x:v>
      </x:c>
      <x:c r="G9" s="12" t="str">
        <x:v>Medium</x:v>
      </x:c>
      <x:c r="H9" s="12" t="str">
        <x:v>A07</x:v>
      </x:c>
      <x:c r="I9" s="12" t="str">
        <x:v>Planned</x:v>
      </x:c>
      <x:c r="J9" s="12" t="str">
        <x:v>Handoff sign-off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23.75" hidden="0" customWidth="1"/>
    <x:col min="3" max="3" width="8.130000114440918" hidden="0" customWidth="1"/>
    <x:col min="4" max="4" width="5.75" hidden="0" customWidth="1"/>
    <x:col min="5" max="5" width="4.630000114440918" hidden="0" customWidth="1"/>
    <x:col min="6" max="6" width="9.75" hidden="0" customWidth="1"/>
    <x:col min="7" max="7" width="21.1299991607666" hidden="0" customWidth="1"/>
    <x:col min="8" max="8" width="22.3799991607666" hidden="0" customWidth="1"/>
    <x:col min="9" max="9" width="8.380000114440918" hidden="0" customWidth="1"/>
    <x:col min="10" max="10" width="15.880000114440918" hidden="0" customWidth="1"/>
  </x:cols>
  <x:sheetData>
    <x:row r="1">
      <x:c r="A1" s="6" t="str">
        <x:v>ID</x:v>
      </x:c>
      <x:c r="B1" s="12" t="str">
        <x:v>Risk</x:v>
      </x:c>
      <x:c r="C1" s="12" t="str">
        <x:v>Likelihood</x:v>
      </x:c>
      <x:c r="D1" s="12" t="str">
        <x:v>Impact</x:v>
      </x:c>
      <x:c r="E1" s="12" t="str">
        <x:v>Score</x:v>
      </x:c>
      <x:c r="F1" s="12" t="str">
        <x:v>Owner</x:v>
      </x:c>
      <x:c r="G1" s="12" t="str">
        <x:v>Mitigation</x:v>
      </x:c>
      <x:c r="H1" s="12" t="str">
        <x:v>Trigger</x:v>
      </x:c>
      <x:c r="I1" s="12" t="str">
        <x:v>Status</x:v>
      </x:c>
      <x:c r="J1" s="12" t="str">
        <x:v>Escalation</x:v>
      </x:c>
    </x:row>
    <x:row r="2">
      <x:c r="A2" s="12" t="str">
        <x:v>R01</x:v>
      </x:c>
      <x:c r="B2" s="12" t="str">
        <x:v>Incomplete sales handoff</x:v>
      </x:c>
      <x:c r="C2" s="12" t="n">
        <x:v>3</x:v>
      </x:c>
      <x:c r="D2" s="12" t="n">
        <x:v>5</x:v>
      </x:c>
      <x:c r="E2" s="12" t="n">
        <x:f>C2*D2</x:f>
        <x:v>15</x:v>
      </x:c>
      <x:c r="F2" s="12" t="str">
        <x:v>Sales Ops</x:v>
      </x:c>
      <x:c r="G2" s="12" t="str">
        <x:v>Acceptance gate + coaching</x:v>
      </x:c>
      <x:c r="H2" s="12" t="str">
        <x:v>Completeness &lt;90%</x:v>
      </x:c>
      <x:c r="I2" s="12" t="str">
        <x:v>Controlled</x:v>
      </x:c>
      <x:c r="J2" s="12" t="str">
        <x:v>Sales leadership</x:v>
      </x:c>
    </x:row>
    <x:row r="3">
      <x:c r="A3" s="12" t="str">
        <x:v>R02</x:v>
      </x:c>
      <x:c r="B3" s="12" t="str">
        <x:v>Customer setup inactivity</x:v>
      </x:c>
      <x:c r="C3" s="12" t="n">
        <x:v>3</x:v>
      </x:c>
      <x:c r="D3" s="12" t="n">
        <x:v>5</x:v>
      </x:c>
      <x:c r="E3" s="12" t="n">
        <x:f>C3*D3</x:f>
        <x:v>15</x:v>
      </x:c>
      <x:c r="F3" s="12" t="str">
        <x:v>CS Ops</x:v>
      </x:c>
      <x:c r="G3" s="12" t="str">
        <x:v>Day-10 risk review</x:v>
      </x:c>
      <x:c r="H3" s="12" t="str">
        <x:v>No milestone progress 5 days</x:v>
      </x:c>
      <x:c r="I3" s="12" t="str">
        <x:v>Controlled</x:v>
      </x:c>
      <x:c r="J3" s="12" t="str">
        <x:v>CX leader</x:v>
      </x:c>
    </x:row>
    <x:row r="4">
      <x:c r="A4" s="12" t="str">
        <x:v>R03</x:v>
      </x:c>
      <x:c r="B4" s="12" t="str">
        <x:v>Integration blocker</x:v>
      </x:c>
      <x:c r="C4" s="12" t="n">
        <x:v>2</x:v>
      </x:c>
      <x:c r="D4" s="12" t="n">
        <x:v>5</x:v>
      </x:c>
      <x:c r="E4" s="12" t="n">
        <x:f>C4*D4</x:f>
        <x:v>10</x:v>
      </x:c>
      <x:c r="F4" s="12" t="str">
        <x:v>Support Ops</x:v>
      </x:c>
      <x:c r="G4" s="12" t="str">
        <x:v>Technical escalation path</x:v>
      </x:c>
      <x:c r="H4" s="12" t="str">
        <x:v>Critical blocker &gt;1 day</x:v>
      </x:c>
      <x:c r="I4" s="12" t="str">
        <x:v>Controlled</x:v>
      </x:c>
      <x:c r="J4" s="12" t="str">
        <x:v>Product/Engineering</x:v>
      </x:c>
    </x:row>
    <x:row r="5">
      <x:c r="A5" s="12" t="str">
        <x:v>R04</x:v>
      </x:c>
      <x:c r="B5" s="12" t="str">
        <x:v>Training no-show</x:v>
      </x:c>
      <x:c r="C5" s="12" t="n">
        <x:v>3</x:v>
      </x:c>
      <x:c r="D5" s="12" t="n">
        <x:v>3</x:v>
      </x:c>
      <x:c r="E5" s="12" t="n">
        <x:f>C5*D5</x:f>
        <x:v>9</x:v>
      </x:c>
      <x:c r="F5" s="12" t="str">
        <x:v>CS Ops</x:v>
      </x:c>
      <x:c r="G5" s="12" t="str">
        <x:v>Reschedule + recordings</x:v>
      </x:c>
      <x:c r="H5" s="12" t="str">
        <x:v>2 missed sessions</x:v>
      </x:c>
      <x:c r="I5" s="12" t="str">
        <x:v>Controlled</x:v>
      </x:c>
      <x:c r="J5" s="12" t="str">
        <x:v>Customer sponsor</x:v>
      </x:c>
    </x:row>
    <x:row r="6">
      <x:c r="A6" s="12" t="str">
        <x:v>R05</x:v>
      </x:c>
      <x:c r="B6" s="12" t="str">
        <x:v>Data quality weakens reporting</x:v>
      </x:c>
      <x:c r="C6" s="12" t="n">
        <x:v>2</x:v>
      </x:c>
      <x:c r="D6" s="12" t="n">
        <x:v>4</x:v>
      </x:c>
      <x:c r="E6" s="12" t="n">
        <x:f>C6*D6</x:f>
        <x:v>8</x:v>
      </x:c>
      <x:c r="F6" s="12" t="str">
        <x:v>Product Ops</x:v>
      </x:c>
      <x:c r="G6" s="12" t="str">
        <x:v>Weekly validation</x:v>
      </x:c>
      <x:c r="H6" s="12" t="str">
        <x:v>Missing fields &gt;5%</x:v>
      </x:c>
      <x:c r="I6" s="12" t="str">
        <x:v>Controlled</x:v>
      </x:c>
      <x:c r="J6" s="12" t="str">
        <x:v>Ops leader</x:v>
      </x:c>
    </x:row>
    <x:row r="7">
      <x:c r="A7" s="12" t="str">
        <x:v>R06</x:v>
      </x:c>
      <x:c r="B7" s="12" t="str">
        <x:v>Product friction repeats</x:v>
      </x:c>
      <x:c r="C7" s="12" t="n">
        <x:v>3</x:v>
      </x:c>
      <x:c r="D7" s="12" t="n">
        <x:v>4</x:v>
      </x:c>
      <x:c r="E7" s="12" t="n">
        <x:f>C7*D7</x:f>
        <x:v>12</x:v>
      </x:c>
      <x:c r="F7" s="12" t="str">
        <x:v>Product</x:v>
      </x:c>
      <x:c r="G7" s="12" t="str">
        <x:v>VOC taxonomy + backlog</x:v>
      </x:c>
      <x:c r="H7" s="12" t="str">
        <x:v>3+ accounts same blocker</x:v>
      </x:c>
      <x:c r="I7" s="12" t="str">
        <x:v>Controlled</x:v>
      </x:c>
      <x:c r="J7" s="12" t="str">
        <x:v>Product leader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7.25" hidden="0" customWidth="1"/>
    <x:col min="3" max="3" width="6.75" hidden="0" customWidth="1"/>
    <x:col min="4" max="4" width="16.1299991607666" hidden="0" customWidth="1"/>
    <x:col min="5" max="5" width="15.5" hidden="0" customWidth="1"/>
    <x:col min="6" max="6" width="11" hidden="0" customWidth="1"/>
    <x:col min="7" max="7" width="19" hidden="0" customWidth="1"/>
    <x:col min="8" max="8" width="7" hidden="0" customWidth="1"/>
  </x:cols>
  <x:sheetData>
    <x:row r="1">
      <x:c r="A1" s="6" t="str">
        <x:v>Field</x:v>
      </x:c>
      <x:c r="B1" s="12" t="str">
        <x:v>Required</x:v>
      </x:c>
      <x:c r="C1" s="12" t="str">
        <x:v>Owner</x:v>
      </x:c>
      <x:c r="D1" s="12" t="str">
        <x:v>Baseline Complete %</x:v>
      </x:c>
      <x:c r="E1" s="12" t="str">
        <x:v>Current Complete %</x:v>
      </x:c>
      <x:c r="F1" s="12" t="str">
        <x:v>SLA</x:v>
      </x:c>
      <x:c r="G1" s="12" t="str">
        <x:v>Control</x:v>
      </x:c>
      <x:c r="H1" s="12" t="str">
        <x:v>Status</x:v>
      </x:c>
    </x:row>
    <x:row r="2">
      <x:c r="A2" s="12" t="str">
        <x:v>Customer goals</x:v>
      </x:c>
      <x:c r="B2" s="12" t="str">
        <x:v>Yes</x:v>
      </x:c>
      <x:c r="C2" s="12" t="str">
        <x:v>Sales</x:v>
      </x:c>
      <x:c r="D2" s="12" t="n">
        <x:v>0.82</x:v>
      </x:c>
      <x:c r="E2" s="12" t="n">
        <x:v>0.99</x:v>
      </x:c>
      <x:c r="F2" s="12" t="str">
        <x:v>4 business hrs</x:v>
      </x:c>
      <x:c r="G2" s="12" t="str">
        <x:v>Acceptance check</x:v>
      </x:c>
      <x:c r="H2" s="12" t="str">
        <x:v>On Track</x:v>
      </x:c>
    </x:row>
    <x:row r="3">
      <x:c r="A3" s="12" t="str">
        <x:v>Success metric</x:v>
      </x:c>
      <x:c r="B3" s="12" t="str">
        <x:v>Yes</x:v>
      </x:c>
      <x:c r="C3" s="12" t="str">
        <x:v>Sales</x:v>
      </x:c>
      <x:c r="D3" s="12" t="n">
        <x:v>0.61</x:v>
      </x:c>
      <x:c r="E3" s="12" t="n">
        <x:v>0.96</x:v>
      </x:c>
      <x:c r="F3" s="12" t="str">
        <x:v>4 business hrs</x:v>
      </x:c>
      <x:c r="G3" s="12" t="str">
        <x:v>Acceptance check</x:v>
      </x:c>
      <x:c r="H3" s="12" t="str">
        <x:v>On Track</x:v>
      </x:c>
    </x:row>
    <x:row r="4">
      <x:c r="A4" s="12" t="str">
        <x:v>Technical contact</x:v>
      </x:c>
      <x:c r="B4" s="12" t="str">
        <x:v>Yes</x:v>
      </x:c>
      <x:c r="C4" s="12" t="str">
        <x:v>Sales</x:v>
      </x:c>
      <x:c r="D4" s="12" t="n">
        <x:v>0.7</x:v>
      </x:c>
      <x:c r="E4" s="12" t="n">
        <x:v>0.97</x:v>
      </x:c>
      <x:c r="F4" s="12" t="str">
        <x:v>4 business hrs</x:v>
      </x:c>
      <x:c r="G4" s="12" t="str">
        <x:v>Acceptance check</x:v>
      </x:c>
      <x:c r="H4" s="12" t="str">
        <x:v>On Track</x:v>
      </x:c>
    </x:row>
    <x:row r="5">
      <x:c r="A5" s="12" t="str">
        <x:v>Integrations</x:v>
      </x:c>
      <x:c r="B5" s="12" t="str">
        <x:v>Yes</x:v>
      </x:c>
      <x:c r="C5" s="12" t="str">
        <x:v>Sales/SE</x:v>
      </x:c>
      <x:c r="D5" s="12" t="n">
        <x:v>0.64</x:v>
      </x:c>
      <x:c r="E5" s="12" t="n">
        <x:v>0.95</x:v>
      </x:c>
      <x:c r="F5" s="12" t="str">
        <x:v>4 business hrs</x:v>
      </x:c>
      <x:c r="G5" s="12" t="str">
        <x:v>Acceptance check</x:v>
      </x:c>
      <x:c r="H5" s="12" t="str">
        <x:v>On Track</x:v>
      </x:c>
    </x:row>
    <x:row r="6">
      <x:c r="A6" s="12" t="str">
        <x:v>Target go-live</x:v>
      </x:c>
      <x:c r="B6" s="12" t="str">
        <x:v>Yes</x:v>
      </x:c>
      <x:c r="C6" s="12" t="str">
        <x:v>Sales</x:v>
      </x:c>
      <x:c r="D6" s="12" t="n">
        <x:v>0.73</x:v>
      </x:c>
      <x:c r="E6" s="12" t="n">
        <x:v>0.98</x:v>
      </x:c>
      <x:c r="F6" s="12" t="str">
        <x:v>4 business hrs</x:v>
      </x:c>
      <x:c r="G6" s="12" t="str">
        <x:v>Acceptance check</x:v>
      </x:c>
      <x:c r="H6" s="12" t="str">
        <x:v>On Track</x:v>
      </x:c>
    </x:row>
    <x:row r="7">
      <x:c r="A7" s="12" t="str">
        <x:v>Known risks</x:v>
      </x:c>
      <x:c r="B7" s="12" t="str">
        <x:v>Yes</x:v>
      </x:c>
      <x:c r="C7" s="12" t="str">
        <x:v>Sales</x:v>
      </x:c>
      <x:c r="D7" s="12" t="n">
        <x:v>0.58</x:v>
      </x:c>
      <x:c r="E7" s="12" t="n">
        <x:v>0.94</x:v>
      </x:c>
      <x:c r="F7" s="12" t="str">
        <x:v>4 business hrs</x:v>
      </x:c>
      <x:c r="G7" s="12" t="str">
        <x:v>Weekly exception review</x:v>
      </x:c>
      <x:c r="H7" s="12" t="str">
        <x:v>At Risk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.6299991607666" hidden="0" customWidth="1"/>
    <x:col min="2" max="2" width="15.630000114440918" hidden="0" customWidth="1"/>
    <x:col min="3" max="3" width="7.380000114440918" hidden="0" customWidth="1"/>
    <x:col min="4" max="4" width="6.880000114440918" hidden="0" customWidth="1"/>
    <x:col min="5" max="5" width="10.880000114440918" hidden="0" customWidth="1"/>
    <x:col min="6" max="6" width="13" hidden="0" customWidth="1"/>
    <x:col min="7" max="7" width="25.5" hidden="0" customWidth="1"/>
    <x:col min="8" max="8" width="4" hidden="0" customWidth="1"/>
    <x:col min="9" max="9" width="8.75" hidden="0" customWidth="1"/>
  </x:cols>
  <x:sheetData>
    <x:row r="1">
      <x:c r="A1" s="6" t="str">
        <x:v>Theme</x:v>
      </x:c>
      <x:c r="B1" s="12" t="str">
        <x:v>Category</x:v>
      </x:c>
      <x:c r="C1" s="12" t="str">
        <x:v>Accounts</x:v>
      </x:c>
      <x:c r="D1" s="12" t="str">
        <x:v>Severity</x:v>
      </x:c>
      <x:c r="E1" s="12" t="str">
        <x:v>Primary Stage</x:v>
      </x:c>
      <x:c r="F1" s="12" t="str">
        <x:v>Owner</x:v>
      </x:c>
      <x:c r="G1" s="12" t="str">
        <x:v>Response</x:v>
      </x:c>
      <x:c r="H1" s="12" t="str">
        <x:v>Due</x:v>
      </x:c>
      <x:c r="I1" s="12" t="str">
        <x:v>Status</x:v>
      </x:c>
    </x:row>
    <x:row r="2">
      <x:c r="A2" s="12" t="str">
        <x:v>Integration setup</x:v>
      </x:c>
      <x:c r="B2" s="12" t="str">
        <x:v>Configuration</x:v>
      </x:c>
      <x:c r="C2" s="12" t="n">
        <x:v>14</x:v>
      </x:c>
      <x:c r="D2" s="12" t="str">
        <x:v>High</x:v>
      </x:c>
      <x:c r="E2" s="12" t="str">
        <x:v>Setup</x:v>
      </x:c>
      <x:c r="F2" s="12" t="str">
        <x:v>Product/Support</x:v>
      </x:c>
      <x:c r="G2" s="12" t="str">
        <x:v>Improve prerequisite guide</x:v>
      </x:c>
      <x:c r="H2" s="12" t="str">
        <x:v>W13</x:v>
      </x:c>
      <x:c r="I2" s="12" t="str">
        <x:v>In Progress</x:v>
      </x:c>
    </x:row>
    <x:row r="3">
      <x:c r="A3" s="12" t="str">
        <x:v>Admin permissions</x:v>
      </x:c>
      <x:c r="B3" s="12" t="str">
        <x:v>Education</x:v>
      </x:c>
      <x:c r="C3" s="12" t="n">
        <x:v>11</x:v>
      </x:c>
      <x:c r="D3" s="12" t="str">
        <x:v>Medium</x:v>
      </x:c>
      <x:c r="E3" s="12" t="str">
        <x:v>Setup</x:v>
      </x:c>
      <x:c r="F3" s="12" t="str">
        <x:v>CS Ops</x:v>
      </x:c>
      <x:c r="G3" s="12" t="str">
        <x:v>Add admin checklist</x:v>
      </x:c>
      <x:c r="H3" s="12" t="str">
        <x:v>W13</x:v>
      </x:c>
      <x:c r="I3" s="12" t="str">
        <x:v>In Progress</x:v>
      </x:c>
    </x:row>
    <x:row r="4">
      <x:c r="A4" s="12" t="str">
        <x:v>Reporting confusion</x:v>
      </x:c>
      <x:c r="B4" s="12" t="str">
        <x:v>Usability</x:v>
      </x:c>
      <x:c r="C4" s="12" t="n">
        <x:v>8</x:v>
      </x:c>
      <x:c r="D4" s="12" t="str">
        <x:v>Medium</x:v>
      </x:c>
      <x:c r="E4" s="12" t="str">
        <x:v>Activation</x:v>
      </x:c>
      <x:c r="F4" s="12" t="str">
        <x:v>Product</x:v>
      </x:c>
      <x:c r="G4" s="12" t="str">
        <x:v>Improve onboarding walkthrough</x:v>
      </x:c>
      <x:c r="H4" s="12" t="str">
        <x:v>W14</x:v>
      </x:c>
      <x:c r="I4" s="12" t="str">
        <x:v>Planned</x:v>
      </x:c>
    </x:row>
    <x:row r="5">
      <x:c r="A5" s="12" t="str">
        <x:v>Delayed customer data</x:v>
      </x:c>
      <x:c r="B5" s="12" t="str">
        <x:v>Customer Readiness</x:v>
      </x:c>
      <x:c r="C5" s="12" t="n">
        <x:v>7</x:v>
      </x:c>
      <x:c r="D5" s="12" t="str">
        <x:v>Medium</x:v>
      </x:c>
      <x:c r="E5" s="12" t="str">
        <x:v>Setup</x:v>
      </x:c>
      <x:c r="F5" s="12" t="str">
        <x:v>CS</x:v>
      </x:c>
      <x:c r="G5" s="12" t="str">
        <x:v>Pre-kickoff checklist</x:v>
      </x:c>
      <x:c r="H5" s="12" t="str">
        <x:v>W13</x:v>
      </x:c>
      <x:c r="I5" s="12" t="str">
        <x:v>In Progress</x:v>
      </x:c>
    </x:row>
    <x:row r="6">
      <x:c r="A6" s="12" t="str">
        <x:v>SSO configuration</x:v>
      </x:c>
      <x:c r="B6" s="12" t="str">
        <x:v>Integration</x:v>
      </x:c>
      <x:c r="C6" s="12" t="n">
        <x:v>5</x:v>
      </x:c>
      <x:c r="D6" s="12" t="str">
        <x:v>High</x:v>
      </x:c>
      <x:c r="E6" s="12" t="str">
        <x:v>Setup</x:v>
      </x:c>
      <x:c r="F6" s="12" t="str">
        <x:v>Support</x:v>
      </x:c>
      <x:c r="G6" s="12" t="str">
        <x:v>Technical office hours</x:v>
      </x:c>
      <x:c r="H6" s="12" t="str">
        <x:v>W14</x:v>
      </x:c>
      <x:c r="I6" s="12" t="str">
        <x:v>Planned</x:v>
      </x:c>
    </x:row>
    <x:row r="7">
      <x:c r="A7" s="12" t="str">
        <x:v>First-value ambiguity</x:v>
      </x:c>
      <x:c r="B7" s="12" t="str">
        <x:v>Process</x:v>
      </x:c>
      <x:c r="C7" s="12" t="n">
        <x:v>4</x:v>
      </x:c>
      <x:c r="D7" s="12" t="str">
        <x:v>Medium</x:v>
      </x:c>
      <x:c r="E7" s="12" t="str">
        <x:v>Activation</x:v>
      </x:c>
      <x:c r="F7" s="12" t="str">
        <x:v>Product Ops</x:v>
      </x:c>
      <x:c r="G7" s="12" t="str">
        <x:v>Segment success criteria</x:v>
      </x:c>
      <x:c r="H7" s="12" t="str">
        <x:v>W13</x:v>
      </x:c>
      <x:c r="I7" s="12" t="str">
        <x:v>In Progress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34.130001068115234" hidden="0" customWidth="1"/>
    <x:col min="3" max="3" width="9.5" hidden="0" customWidth="1"/>
    <x:col min="4" max="4" width="17.3799991607666" hidden="0" customWidth="1"/>
    <x:col min="5" max="5" width="13.380000114440918" hidden="0" customWidth="1"/>
    <x:col min="6" max="6" width="12.5" hidden="0" customWidth="1"/>
    <x:col min="7" max="7" width="9.75" hidden="0" customWidth="1"/>
    <x:col min="8" max="8" width="7.25" hidden="0" customWidth="1"/>
    <x:col min="9" max="9" width="7.25" hidden="0" customWidth="1"/>
    <x:col min="10" max="10" width="8.75" hidden="0" customWidth="1"/>
  </x:cols>
  <x:sheetData>
    <x:row r="1">
      <x:c r="A1" s="6" t="str">
        <x:v>ID</x:v>
      </x:c>
      <x:c r="B1" s="12" t="str">
        <x:v>Hypothesis</x:v>
      </x:c>
      <x:c r="C1" s="12" t="str">
        <x:v>Cohort</x:v>
      </x:c>
      <x:c r="D1" s="12" t="str">
        <x:v>Intervention</x:v>
      </x:c>
      <x:c r="E1" s="12" t="str">
        <x:v>Primary Metric</x:v>
      </x:c>
      <x:c r="F1" s="12" t="str">
        <x:v>Guardrail</x:v>
      </x:c>
      <x:c r="G1" s="12" t="str">
        <x:v>Owner</x:v>
      </x:c>
      <x:c r="H1" s="12" t="str">
        <x:v>Result</x:v>
      </x:c>
      <x:c r="I1" s="12" t="str">
        <x:v>Decision</x:v>
      </x:c>
      <x:c r="J1" s="12" t="str">
        <x:v>Status</x:v>
      </x:c>
    </x:row>
    <x:row r="2">
      <x:c r="A2" s="12" t="str">
        <x:v>EXP-01</x:v>
      </x:c>
      <x:c r="B2" s="12" t="str">
        <x:v>Prerequisite checklist reduces setup delay</x:v>
      </x:c>
      <x:c r="C2" s="12" t="str">
        <x:v>Integrated</x:v>
      </x:c>
      <x:c r="D2" s="12" t="str">
        <x:v>Pre-kickoff checklist</x:v>
      </x:c>
      <x:c r="E2" s="12" t="str">
        <x:v>Setup days</x:v>
      </x:c>
      <x:c r="F2" s="12" t="str">
        <x:v>CSAT</x:v>
      </x:c>
      <x:c r="G2" s="12" t="str">
        <x:v>Product Ops</x:v>
      </x:c>
      <x:c r="H2" s="12" t="str">
        <x:v>-2.1 days</x:v>
      </x:c>
      <x:c r="I2" s="12" t="str">
        <x:v>Adopt</x:v>
      </x:c>
      <x:c r="J2" s="12" t="str">
        <x:v>Complete</x:v>
      </x:c>
    </x:row>
    <x:row r="3">
      <x:c r="A3" s="12" t="str">
        <x:v>EXP-02</x:v>
      </x:c>
      <x:c r="B3" s="12" t="str">
        <x:v>Day-10 alert improves activation</x:v>
      </x:c>
      <x:c r="C3" s="12" t="str">
        <x:v>All</x:v>
      </x:c>
      <x:c r="D3" s="12" t="str">
        <x:v>Risk alert + owner task</x:v>
      </x:c>
      <x:c r="E3" s="12" t="str">
        <x:v>14-day activation</x:v>
      </x:c>
      <x:c r="F3" s="12" t="str">
        <x:v>Support volume</x:v>
      </x:c>
      <x:c r="G3" s="12" t="str">
        <x:v>CS Ops</x:v>
      </x:c>
      <x:c r="H3" s="12" t="str">
        <x:v>+7 pts</x:v>
      </x:c>
      <x:c r="I3" s="12" t="str">
        <x:v>Adopt</x:v>
      </x:c>
      <x:c r="J3" s="12" t="str">
        <x:v>Complete</x:v>
      </x:c>
    </x:row>
    <x:row r="4">
      <x:c r="A4" s="12" t="str">
        <x:v>EXP-03</x:v>
      </x:c>
      <x:c r="B4" s="12" t="str">
        <x:v>Role-based kickoff improves admin activation</x:v>
      </x:c>
      <x:c r="C4" s="12" t="str">
        <x:v>Mid-Market</x:v>
      </x:c>
      <x:c r="D4" s="12" t="str">
        <x:v>Admin/user tracks</x:v>
      </x:c>
      <x:c r="E4" s="12" t="str">
        <x:v>Activation</x:v>
      </x:c>
      <x:c r="F4" s="12" t="str">
        <x:v>TTV</x:v>
      </x:c>
      <x:c r="G4" s="12" t="str">
        <x:v>CS Ops</x:v>
      </x:c>
      <x:c r="H4" s="12" t="str">
        <x:v>+4 pts</x:v>
      </x:c>
      <x:c r="I4" s="12" t="str">
        <x:v>Scale</x:v>
      </x:c>
      <x:c r="J4" s="12" t="str">
        <x:v>Complete</x:v>
      </x:c>
    </x:row>
    <x:row r="5">
      <x:c r="A5" s="12" t="str">
        <x:v>EXP-04</x:v>
      </x:c>
      <x:c r="B5" s="12" t="str">
        <x:v>Office hours reduce integration tickets</x:v>
      </x:c>
      <x:c r="C5" s="12" t="str">
        <x:v>Integrated</x:v>
      </x:c>
      <x:c r="D5" s="12" t="str">
        <x:v>Weekly office hours</x:v>
      </x:c>
      <x:c r="E5" s="12" t="str">
        <x:v>Tickets/customer</x:v>
      </x:c>
      <x:c r="F5" s="12" t="str">
        <x:v>TTV</x:v>
      </x:c>
      <x:c r="G5" s="12" t="str">
        <x:v>Support Ops</x:v>
      </x:c>
      <x:c r="H5" s="12" t="str">
        <x:v>-18%</x:v>
      </x:c>
      <x:c r="I5" s="12" t="str">
        <x:v>Continue</x:v>
      </x:c>
      <x:c r="J5" s="12" t="str">
        <x:v>In Progress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12" hidden="0" customWidth="1"/>
    <x:col min="3" max="3" width="9.75" hidden="0" customWidth="1"/>
    <x:col min="4" max="4" width="13.130000114440918" hidden="0" customWidth="1"/>
    <x:col min="5" max="5" width="14.630000114440918" hidden="0" customWidth="1"/>
    <x:col min="6" max="6" width="16.1299991607666" hidden="0" customWidth="1"/>
    <x:col min="7" max="7" width="15.880000114440918" hidden="0" customWidth="1"/>
    <x:col min="8" max="8" width="5.130000114440918" hidden="0" customWidth="1"/>
    <x:col min="9" max="9" width="6.880000114440918" hidden="0" customWidth="1"/>
  </x:cols>
  <x:sheetData>
    <x:row r="1">
      <x:c r="A1" s="6" t="str">
        <x:v>Control</x:v>
      </x:c>
      <x:c r="B1" s="12" t="str">
        <x:v>Frequency</x:v>
      </x:c>
      <x:c r="C1" s="12" t="str">
        <x:v>Owner</x:v>
      </x:c>
      <x:c r="D1" s="12" t="str">
        <x:v>Evidence</x:v>
      </x:c>
      <x:c r="E1" s="12" t="str">
        <x:v>Threshold</x:v>
      </x:c>
      <x:c r="F1" s="12" t="str">
        <x:v>Response</x:v>
      </x:c>
      <x:c r="G1" s="12" t="str">
        <x:v>Escalation</x:v>
      </x:c>
      <x:c r="H1" s="12" t="str">
        <x:v>Status</x:v>
      </x:c>
      <x:c r="I1" s="12" t="str">
        <x:v>Audit</x:v>
      </x:c>
    </x:row>
    <x:row r="2">
      <x:c r="A2" s="12" t="str">
        <x:v>Handoff acceptance</x:v>
      </x:c>
      <x:c r="B2" s="12" t="str">
        <x:v>Every customer</x:v>
      </x:c>
      <x:c r="C2" s="12" t="str">
        <x:v>Sales Ops</x:v>
      </x:c>
      <x:c r="D2" s="12" t="str">
        <x:v>Accepted record</x:v>
      </x:c>
      <x:c r="E2" s="12" t="str">
        <x:v>&gt;=95% complete</x:v>
      </x:c>
      <x:c r="F2" s="12" t="str">
        <x:v>Reject incomplete</x:v>
      </x:c>
      <x:c r="G2" s="12" t="str">
        <x:v>Sales leader</x:v>
      </x:c>
      <x:c r="H2" s="12" t="str">
        <x:v>Active</x:v>
      </x:c>
      <x:c r="I2" s="12" t="str">
        <x:v>Weekly</x:v>
      </x:c>
    </x:row>
    <x:row r="3">
      <x:c r="A3" s="12" t="str">
        <x:v>Stalled account scan</x:v>
      </x:c>
      <x:c r="B3" s="12" t="str">
        <x:v>Daily</x:v>
      </x:c>
      <x:c r="C3" s="12" t="str">
        <x:v>CS Ops</x:v>
      </x:c>
      <x:c r="D3" s="12" t="str">
        <x:v>Risk queue</x:v>
      </x:c>
      <x:c r="E3" s="12" t="str">
        <x:v>No progress 5 days</x:v>
      </x:c>
      <x:c r="F3" s="12" t="str">
        <x:v>Owner recovery plan</x:v>
      </x:c>
      <x:c r="G3" s="12" t="str">
        <x:v>CX leader</x:v>
      </x:c>
      <x:c r="H3" s="12" t="str">
        <x:v>Active</x:v>
      </x:c>
      <x:c r="I3" s="12" t="str">
        <x:v>Weekly</x:v>
      </x:c>
    </x:row>
    <x:row r="4">
      <x:c r="A4" s="12" t="str">
        <x:v>Day-10 activation check</x:v>
      </x:c>
      <x:c r="B4" s="12" t="str">
        <x:v>Daily</x:v>
      </x:c>
      <x:c r="C4" s="12" t="str">
        <x:v>Product Ops</x:v>
      </x:c>
      <x:c r="D4" s="12" t="str">
        <x:v>Activation report</x:v>
      </x:c>
      <x:c r="E4" s="12" t="str">
        <x:v>&gt;=85% cohort</x:v>
      </x:c>
      <x:c r="F4" s="12" t="str">
        <x:v>Risk review</x:v>
      </x:c>
      <x:c r="G4" s="12" t="str">
        <x:v>Product/CS</x:v>
      </x:c>
      <x:c r="H4" s="12" t="str">
        <x:v>Active</x:v>
      </x:c>
      <x:c r="I4" s="12" t="str">
        <x:v>Weekly</x:v>
      </x:c>
    </x:row>
    <x:row r="5">
      <x:c r="A5" s="12" t="str">
        <x:v>Support severity route</x:v>
      </x:c>
      <x:c r="B5" s="12" t="str">
        <x:v>Daily</x:v>
      </x:c>
      <x:c r="C5" s="12" t="str">
        <x:v>Support Ops</x:v>
      </x:c>
      <x:c r="D5" s="12" t="str">
        <x:v>Ticket log</x:v>
      </x:c>
      <x:c r="E5" s="12" t="str">
        <x:v>Critical &gt;1 day</x:v>
      </x:c>
      <x:c r="F5" s="12" t="str">
        <x:v>Escalate</x:v>
      </x:c>
      <x:c r="G5" s="12" t="str">
        <x:v>Product/Engineering</x:v>
      </x:c>
      <x:c r="H5" s="12" t="str">
        <x:v>Active</x:v>
      </x:c>
      <x:c r="I5" s="12" t="str">
        <x:v>Weekly</x:v>
      </x:c>
    </x:row>
    <x:row r="6">
      <x:c r="A6" s="12" t="str">
        <x:v>KPI validation</x:v>
      </x:c>
      <x:c r="B6" s="12" t="str">
        <x:v>Weekly</x:v>
      </x:c>
      <x:c r="C6" s="12" t="str">
        <x:v>Product Ops</x:v>
      </x:c>
      <x:c r="D6" s="12" t="str">
        <x:v>QA checklist</x:v>
      </x:c>
      <x:c r="E6" s="12" t="str">
        <x:v>Missing data &lt;=2%</x:v>
      </x:c>
      <x:c r="F6" s="12" t="str">
        <x:v>Correct source</x:v>
      </x:c>
      <x:c r="G6" s="12" t="str">
        <x:v>Ops leader</x:v>
      </x:c>
      <x:c r="H6" s="12" t="str">
        <x:v>Active</x:v>
      </x:c>
      <x:c r="I6" s="12" t="str">
        <x:v>Weekly</x:v>
      </x:c>
    </x:row>
    <x:row r="7">
      <x:c r="A7" s="12" t="str">
        <x:v>VOC theme review</x:v>
      </x:c>
      <x:c r="B7" s="12" t="str">
        <x:v>Weekly</x:v>
      </x:c>
      <x:c r="C7" s="12" t="str">
        <x:v>Product</x:v>
      </x:c>
      <x:c r="D7" s="12" t="str">
        <x:v>VOC log</x:v>
      </x:c>
      <x:c r="E7" s="12" t="str">
        <x:v>3+ same blocker</x:v>
      </x:c>
      <x:c r="F7" s="12" t="str">
        <x:v>Backlog/response</x:v>
      </x:c>
      <x:c r="G7" s="12" t="str">
        <x:v>Product leader</x:v>
      </x:c>
      <x:c r="H7" s="12" t="str">
        <x:v>Active</x:v>
      </x:c>
      <x:c r="I7" s="12" t="str">
        <x:v>Monthly</x:v>
      </x:c>
    </x:row>
  </x:sheetData>
  <x:pageMargins left="0.7" right="0.7" top="0.75" bottom="0.75" header="0.3" footer="0.3"/>
</x:worksheet>
</file>