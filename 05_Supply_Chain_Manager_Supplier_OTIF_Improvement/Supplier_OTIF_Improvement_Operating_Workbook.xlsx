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cec2d526c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585f19632a0440ff"/>
    <x:sheet xmlns:r="http://schemas.openxmlformats.org/officeDocument/2006/relationships" name="Executive_Dashboard" sheetId="2" r:id="R51ac5ea7b8f54736"/>
    <x:sheet xmlns:r="http://schemas.openxmlformats.org/officeDocument/2006/relationships" name="Supplier_Scorecard" sheetId="3" r:id="R5b8a9e4b0e5d4b24"/>
    <x:sheet xmlns:r="http://schemas.openxmlformats.org/officeDocument/2006/relationships" name="Action_Plan" sheetId="4" r:id="Ra23dc126b5f044ad"/>
    <x:sheet xmlns:r="http://schemas.openxmlformats.org/officeDocument/2006/relationships" name="Risk_Register" sheetId="5" r:id="R33e68fe6ff0b4d8c"/>
    <x:sheet xmlns:r="http://schemas.openxmlformats.org/officeDocument/2006/relationships" name="SCAR_CAPA_Log" sheetId="6" r:id="R0f898bd2fe8b44ac"/>
    <x:sheet xmlns:r="http://schemas.openxmlformats.org/officeDocument/2006/relationships" name="Expedite_Log" sheetId="7" r:id="R941220475bc442a0"/>
    <x:sheet xmlns:r="http://schemas.openxmlformats.org/officeDocument/2006/relationships" name="Continuity_Risk" sheetId="8" r:id="R23023d55d8ad4132"/>
    <x:sheet xmlns:r="http://schemas.openxmlformats.org/officeDocument/2006/relationships" name="Control_Log" sheetId="9" r:id="R343a39119002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cf214b5b64d9e" /><Relationship Type="http://schemas.openxmlformats.org/officeDocument/2006/relationships/theme" Target="/xl/theme/theme1.xml" Id="R964bd4c0ba944660" /><Relationship Type="http://schemas.openxmlformats.org/officeDocument/2006/relationships/sharedStrings" Target="/xl/sharedStrings.xml" Id="R3036c48eea584c8a" /><Relationship Type="http://schemas.openxmlformats.org/officeDocument/2006/relationships/worksheet" Target="/xl/worksheets/sheet1.xml" Id="R585f19632a0440ff" /><Relationship Type="http://schemas.openxmlformats.org/officeDocument/2006/relationships/worksheet" Target="/xl/worksheets/sheet2.xml" Id="R51ac5ea7b8f54736" /><Relationship Type="http://schemas.openxmlformats.org/officeDocument/2006/relationships/worksheet" Target="/xl/worksheets/sheet3.xml" Id="R5b8a9e4b0e5d4b24" /><Relationship Type="http://schemas.openxmlformats.org/officeDocument/2006/relationships/worksheet" Target="/xl/worksheets/sheet4.xml" Id="Ra23dc126b5f044ad" /><Relationship Type="http://schemas.openxmlformats.org/officeDocument/2006/relationships/worksheet" Target="/xl/worksheets/sheet5.xml" Id="R33e68fe6ff0b4d8c" /><Relationship Type="http://schemas.openxmlformats.org/officeDocument/2006/relationships/worksheet" Target="/xl/worksheets/sheet6.xml" Id="R0f898bd2fe8b44ac" /><Relationship Type="http://schemas.openxmlformats.org/officeDocument/2006/relationships/worksheet" Target="/xl/worksheets/sheet7.xml" Id="R941220475bc442a0" /><Relationship Type="http://schemas.openxmlformats.org/officeDocument/2006/relationships/worksheet" Target="/xl/worksheets/sheet8.xml" Id="R23023d55d8ad4132" /><Relationship Type="http://schemas.openxmlformats.org/officeDocument/2006/relationships/worksheet" Target="/xl/worksheets/sheet9.xml" Id="R343a3911900249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3af0b376934521" /><Relationship Type="http://schemas.openxmlformats.org/officeDocument/2006/relationships/chart" Target="/xl/drawings/charts/chart2.xml" Id="R05d8bd7212cd46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Supplier OTIF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OTIF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'Weekly_Data'!$B$2:$B$13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Expedite Cost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Expedite Cost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'Weekly_Data'!$G$2:$G$13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3af0b37693452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d8bd7212cd46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591fa95602a4d2e" /></Relationships>
</file>

<file path=xl/worksheets/sheet1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5.630000114440918" hidden="0" customWidth="1"/>
    <x:col min="3" max="3" width="5.5" hidden="0" customWidth="1"/>
    <x:col min="4" max="4" width="6.880000114440918" hidden="0" customWidth="1"/>
    <x:col min="5" max="5" width="19" hidden="0" customWidth="1"/>
    <x:col min="6" max="6" width="10.880000114440918" hidden="0" customWidth="1"/>
    <x:col min="7" max="7" width="10.630000114440918" hidden="0" customWidth="1"/>
    <x:col min="8" max="8" width="13.25" hidden="0" customWidth="1"/>
    <x:col min="9" max="9" width="22" hidden="0" customWidth="1"/>
    <x:col min="10" max="10" width="15.130000114440918" hidden="0" customWidth="1"/>
    <x:col min="11" max="11" width="13.880000114440918" hidden="0" customWidth="1"/>
    <x:col min="12" max="12" width="21.75" hidden="0" customWidth="1"/>
  </x:cols>
  <x:sheetData>
    <x:row r="1">
      <x:c r="A1" s="6" t="str">
        <x:v>Week</x:v>
      </x:c>
      <x:c r="B1" s="12" t="str">
        <x:v>OTIF %</x:v>
      </x:c>
      <x:c r="C1" s="12" t="str">
        <x:v>OTD %</x:v>
      </x:c>
      <x:c r="D1" s="12" t="str">
        <x:v>In-Full %</x:v>
      </x:c>
      <x:c r="E1" s="12" t="str">
        <x:v>Lead-Time Variance Days</x:v>
      </x:c>
      <x:c r="F1" s="12" t="str">
        <x:v>Defect Rate %</x:v>
      </x:c>
      <x:c r="G1" s="12" t="str">
        <x:v>Expedite Cost</x:v>
      </x:c>
      <x:c r="H1" s="12" t="str">
        <x:v>Critical Stockouts</x:v>
      </x:c>
      <x:c r="I1" s="12" t="str">
        <x:v>Corrective Action On-Time %</x:v>
      </x:c>
      <x:c r="J1" s="12" t="str">
        <x:v>Open Red Suppliers</x:v>
      </x:c>
      <x:c r="K1" s="12" t="str">
        <x:v>Past-Due PO Lines</x:v>
      </x:c>
      <x:c r="L1" s="12" t="str">
        <x:v>Supplier Commit Accuracy %</x:v>
      </x:c>
    </x:row>
    <x:row r="2">
      <x:c r="A2" s="12" t="str">
        <x:v>W1</x:v>
      </x:c>
      <x:c r="B2" s="30" t="n">
        <x:v>0.76</x:v>
      </x:c>
      <x:c r="C2" s="30" t="n">
        <x:v>0.82</x:v>
      </x:c>
      <x:c r="D2" s="30" t="n">
        <x:v>0.88</x:v>
      </x:c>
      <x:c r="E2" s="12" t="n">
        <x:v>4.8</x:v>
      </x:c>
      <x:c r="F2" s="30" t="n">
        <x:v>0.036</x:v>
      </x:c>
      <x:c r="G2" s="32" t="n">
        <x:v>84000</x:v>
      </x:c>
      <x:c r="H2" s="12" t="n">
        <x:v>12</x:v>
      </x:c>
      <x:c r="I2" s="30" t="n">
        <x:v>0.58</x:v>
      </x:c>
      <x:c r="J2" s="12" t="n">
        <x:v>8</x:v>
      </x:c>
      <x:c r="K2" s="12" t="n">
        <x:v>64</x:v>
      </x:c>
      <x:c r="L2" s="30" t="n">
        <x:v>0.71</x:v>
      </x:c>
    </x:row>
    <x:row r="3">
      <x:c r="A3" s="12" t="str">
        <x:v>W2</x:v>
      </x:c>
      <x:c r="B3" s="30" t="n">
        <x:v>0.78</x:v>
      </x:c>
      <x:c r="C3" s="30" t="n">
        <x:v>0.83</x:v>
      </x:c>
      <x:c r="D3" s="30" t="n">
        <x:v>0.89</x:v>
      </x:c>
      <x:c r="E3" s="12" t="n">
        <x:v>4.5</x:v>
      </x:c>
      <x:c r="F3" s="30" t="n">
        <x:v>0.034</x:v>
      </x:c>
      <x:c r="G3" s="32" t="n">
        <x:v>79000</x:v>
      </x:c>
      <x:c r="H3" s="12" t="n">
        <x:v>11</x:v>
      </x:c>
      <x:c r="I3" s="30" t="n">
        <x:v>0.61</x:v>
      </x:c>
      <x:c r="J3" s="12" t="n">
        <x:v>8</x:v>
      </x:c>
      <x:c r="K3" s="12" t="n">
        <x:v>60</x:v>
      </x:c>
      <x:c r="L3" s="30" t="n">
        <x:v>0.73</x:v>
      </x:c>
    </x:row>
    <x:row r="4">
      <x:c r="A4" s="12" t="str">
        <x:v>W3</x:v>
      </x:c>
      <x:c r="B4" s="30" t="n">
        <x:v>0.8</x:v>
      </x:c>
      <x:c r="C4" s="30" t="n">
        <x:v>0.85</x:v>
      </x:c>
      <x:c r="D4" s="30" t="n">
        <x:v>0.9</x:v>
      </x:c>
      <x:c r="E4" s="12" t="n">
        <x:v>4.1</x:v>
      </x:c>
      <x:c r="F4" s="30" t="n">
        <x:v>0.031</x:v>
      </x:c>
      <x:c r="G4" s="32" t="n">
        <x:v>72000</x:v>
      </x:c>
      <x:c r="H4" s="12" t="n">
        <x:v>10</x:v>
      </x:c>
      <x:c r="I4" s="30" t="n">
        <x:v>0.65</x:v>
      </x:c>
      <x:c r="J4" s="12" t="n">
        <x:v>7</x:v>
      </x:c>
      <x:c r="K4" s="12" t="n">
        <x:v>55</x:v>
      </x:c>
      <x:c r="L4" s="30" t="n">
        <x:v>0.76</x:v>
      </x:c>
    </x:row>
    <x:row r="5">
      <x:c r="A5" s="12" t="str">
        <x:v>W4</x:v>
      </x:c>
      <x:c r="B5" s="30" t="n">
        <x:v>0.82</x:v>
      </x:c>
      <x:c r="C5" s="30" t="n">
        <x:v>0.86</x:v>
      </x:c>
      <x:c r="D5" s="30" t="n">
        <x:v>0.91</x:v>
      </x:c>
      <x:c r="E5" s="12" t="n">
        <x:v>3.8</x:v>
      </x:c>
      <x:c r="F5" s="30" t="n">
        <x:v>0.029</x:v>
      </x:c>
      <x:c r="G5" s="32" t="n">
        <x:v>66000</x:v>
      </x:c>
      <x:c r="H5" s="12" t="n">
        <x:v>9</x:v>
      </x:c>
      <x:c r="I5" s="30" t="n">
        <x:v>0.69</x:v>
      </x:c>
      <x:c r="J5" s="12" t="n">
        <x:v>7</x:v>
      </x:c>
      <x:c r="K5" s="12" t="n">
        <x:v>49</x:v>
      </x:c>
      <x:c r="L5" s="30" t="n">
        <x:v>0.79</x:v>
      </x:c>
    </x:row>
    <x:row r="6">
      <x:c r="A6" s="12" t="str">
        <x:v>W5</x:v>
      </x:c>
      <x:c r="B6" s="30" t="n">
        <x:v>0.84</x:v>
      </x:c>
      <x:c r="C6" s="30" t="n">
        <x:v>0.88</x:v>
      </x:c>
      <x:c r="D6" s="30" t="n">
        <x:v>0.92</x:v>
      </x:c>
      <x:c r="E6" s="12" t="n">
        <x:v>3.4</x:v>
      </x:c>
      <x:c r="F6" s="30" t="n">
        <x:v>0.026</x:v>
      </x:c>
      <x:c r="G6" s="32" t="n">
        <x:v>59000</x:v>
      </x:c>
      <x:c r="H6" s="12" t="n">
        <x:v>8</x:v>
      </x:c>
      <x:c r="I6" s="30" t="n">
        <x:v>0.73</x:v>
      </x:c>
      <x:c r="J6" s="12" t="n">
        <x:v>6</x:v>
      </x:c>
      <x:c r="K6" s="12" t="n">
        <x:v>43</x:v>
      </x:c>
      <x:c r="L6" s="30" t="n">
        <x:v>0.82</x:v>
      </x:c>
    </x:row>
    <x:row r="7">
      <x:c r="A7" s="12" t="str">
        <x:v>W6</x:v>
      </x:c>
      <x:c r="B7" s="30" t="n">
        <x:v>0.86</x:v>
      </x:c>
      <x:c r="C7" s="30" t="n">
        <x:v>0.89</x:v>
      </x:c>
      <x:c r="D7" s="30" t="n">
        <x:v>0.93</x:v>
      </x:c>
      <x:c r="E7" s="12" t="n">
        <x:v>3</x:v>
      </x:c>
      <x:c r="F7" s="30" t="n">
        <x:v>0.023</x:v>
      </x:c>
      <x:c r="G7" s="32" t="n">
        <x:v>53000</x:v>
      </x:c>
      <x:c r="H7" s="12" t="n">
        <x:v>7</x:v>
      </x:c>
      <x:c r="I7" s="30" t="n">
        <x:v>0.77</x:v>
      </x:c>
      <x:c r="J7" s="12" t="n">
        <x:v>6</x:v>
      </x:c>
      <x:c r="K7" s="12" t="n">
        <x:v>38</x:v>
      </x:c>
      <x:c r="L7" s="30" t="n">
        <x:v>0.84</x:v>
      </x:c>
    </x:row>
    <x:row r="8">
      <x:c r="A8" s="12" t="str">
        <x:v>W7</x:v>
      </x:c>
      <x:c r="B8" s="30" t="n">
        <x:v>0.88</x:v>
      </x:c>
      <x:c r="C8" s="30" t="n">
        <x:v>0.91</x:v>
      </x:c>
      <x:c r="D8" s="30" t="n">
        <x:v>0.94</x:v>
      </x:c>
      <x:c r="E8" s="12" t="n">
        <x:v>2.6</x:v>
      </x:c>
      <x:c r="F8" s="30" t="n">
        <x:v>0.021</x:v>
      </x:c>
      <x:c r="G8" s="32" t="n">
        <x:v>47000</x:v>
      </x:c>
      <x:c r="H8" s="12" t="n">
        <x:v>6</x:v>
      </x:c>
      <x:c r="I8" s="30" t="n">
        <x:v>0.81</x:v>
      </x:c>
      <x:c r="J8" s="12" t="n">
        <x:v>5</x:v>
      </x:c>
      <x:c r="K8" s="12" t="n">
        <x:v>32</x:v>
      </x:c>
      <x:c r="L8" s="30" t="n">
        <x:v>0.87</x:v>
      </x:c>
    </x:row>
    <x:row r="9">
      <x:c r="A9" s="12" t="str">
        <x:v>W8</x:v>
      </x:c>
      <x:c r="B9" s="30" t="n">
        <x:v>0.9</x:v>
      </x:c>
      <x:c r="C9" s="30" t="n">
        <x:v>0.92</x:v>
      </x:c>
      <x:c r="D9" s="30" t="n">
        <x:v>0.95</x:v>
      </x:c>
      <x:c r="E9" s="12" t="n">
        <x:v>2.3</x:v>
      </x:c>
      <x:c r="F9" s="30" t="n">
        <x:v>0.019</x:v>
      </x:c>
      <x:c r="G9" s="32" t="n">
        <x:v>42000</x:v>
      </x:c>
      <x:c r="H9" s="12" t="n">
        <x:v>5</x:v>
      </x:c>
      <x:c r="I9" s="30" t="n">
        <x:v>0.84</x:v>
      </x:c>
      <x:c r="J9" s="12" t="n">
        <x:v>4</x:v>
      </x:c>
      <x:c r="K9" s="12" t="n">
        <x:v>28</x:v>
      </x:c>
      <x:c r="L9" s="30" t="n">
        <x:v>0.89</x:v>
      </x:c>
    </x:row>
    <x:row r="10">
      <x:c r="A10" s="12" t="str">
        <x:v>W9</x:v>
      </x:c>
      <x:c r="B10" s="30" t="n">
        <x:v>0.92</x:v>
      </x:c>
      <x:c r="C10" s="30" t="n">
        <x:v>0.94</x:v>
      </x:c>
      <x:c r="D10" s="30" t="n">
        <x:v>0.96</x:v>
      </x:c>
      <x:c r="E10" s="12" t="n">
        <x:v>1.9</x:v>
      </x:c>
      <x:c r="F10" s="30" t="n">
        <x:v>0.017</x:v>
      </x:c>
      <x:c r="G10" s="32" t="n">
        <x:v>36000</x:v>
      </x:c>
      <x:c r="H10" s="12" t="n">
        <x:v>4</x:v>
      </x:c>
      <x:c r="I10" s="30" t="n">
        <x:v>0.88</x:v>
      </x:c>
      <x:c r="J10" s="12" t="n">
        <x:v>4</x:v>
      </x:c>
      <x:c r="K10" s="12" t="n">
        <x:v>22</x:v>
      </x:c>
      <x:c r="L10" s="30" t="n">
        <x:v>0.91</x:v>
      </x:c>
    </x:row>
    <x:row r="11">
      <x:c r="A11" s="12" t="str">
        <x:v>W10</x:v>
      </x:c>
      <x:c r="B11" s="30" t="n">
        <x:v>0.94</x:v>
      </x:c>
      <x:c r="C11" s="30" t="n">
        <x:v>0.95</x:v>
      </x:c>
      <x:c r="D11" s="30" t="n">
        <x:v>0.97</x:v>
      </x:c>
      <x:c r="E11" s="12" t="n">
        <x:v>1.5</x:v>
      </x:c>
      <x:c r="F11" s="30" t="n">
        <x:v>0.015</x:v>
      </x:c>
      <x:c r="G11" s="32" t="n">
        <x:v>30000</x:v>
      </x:c>
      <x:c r="H11" s="12" t="n">
        <x:v>3</x:v>
      </x:c>
      <x:c r="I11" s="30" t="n">
        <x:v>0.92</x:v>
      </x:c>
      <x:c r="J11" s="12" t="n">
        <x:v>3</x:v>
      </x:c>
      <x:c r="K11" s="12" t="n">
        <x:v>17</x:v>
      </x:c>
      <x:c r="L11" s="30" t="n">
        <x:v>0.93</x:v>
      </x:c>
    </x:row>
    <x:row r="12">
      <x:c r="A12" s="12" t="str">
        <x:v>W11</x:v>
      </x:c>
      <x:c r="B12" s="30" t="n">
        <x:v>0.94</x:v>
      </x:c>
      <x:c r="C12" s="30" t="n">
        <x:v>0.96</x:v>
      </x:c>
      <x:c r="D12" s="30" t="n">
        <x:v>0.97</x:v>
      </x:c>
      <x:c r="E12" s="12" t="n">
        <x:v>1.4</x:v>
      </x:c>
      <x:c r="F12" s="30" t="n">
        <x:v>0.014</x:v>
      </x:c>
      <x:c r="G12" s="32" t="n">
        <x:v>29000</x:v>
      </x:c>
      <x:c r="H12" s="12" t="n">
        <x:v>3</x:v>
      </x:c>
      <x:c r="I12" s="30" t="n">
        <x:v>0.93</x:v>
      </x:c>
      <x:c r="J12" s="12" t="n">
        <x:v>2</x:v>
      </x:c>
      <x:c r="K12" s="12" t="n">
        <x:v>14</x:v>
      </x:c>
      <x:c r="L12" s="30" t="n">
        <x:v>0.94</x:v>
      </x:c>
    </x:row>
    <x:row r="13">
      <x:c r="A13" s="12" t="str">
        <x:v>W12</x:v>
      </x:c>
      <x:c r="B13" s="30" t="n">
        <x:v>0.95</x:v>
      </x:c>
      <x:c r="C13" s="30" t="n">
        <x:v>0.96</x:v>
      </x:c>
      <x:c r="D13" s="30" t="n">
        <x:v>0.98</x:v>
      </x:c>
      <x:c r="E13" s="12" t="n">
        <x:v>1.3</x:v>
      </x:c>
      <x:c r="F13" s="30" t="n">
        <x:v>0.013</x:v>
      </x:c>
      <x:c r="G13" s="32" t="n">
        <x:v>27000</x:v>
      </x:c>
      <x:c r="H13" s="12" t="n">
        <x:v>2</x:v>
      </x:c>
      <x:c r="I13" s="30" t="n">
        <x:v>0.94</x:v>
      </x:c>
      <x:c r="J13" s="12" t="n">
        <x:v>2</x:v>
      </x:c>
      <x:c r="K13" s="12" t="n">
        <x:v>11</x:v>
      </x:c>
      <x:c r="L13" s="30" t="n">
        <x:v>0.95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28" hidden="0" customWidth="1"/>
  </x:cols>
  <x:sheetData>
    <x:row r="1">
      <x:c r="A1" s="17" t="str">
        <x:v>SUPPLIER OTIF IMPROVEMENT | EXECUTIVE SUPPLY CHAIN REVIEW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6" t="str">
        <x:v>KPI</x:v>
      </x:c>
      <x:c r="B4" s="6" t="str">
        <x:v>Baseline</x:v>
      </x:c>
      <x:c r="C4" s="6" t="str">
        <x:v>Target</x:v>
      </x:c>
      <x:c r="D4" s="6" t="str">
        <x:v>Current</x:v>
      </x:c>
      <x:c r="E4" s="6" t="str">
        <x:v>Variance to Target</x:v>
      </x:c>
      <x:c r="F4" s="6" t="str">
        <x:v>Attainment</x:v>
      </x:c>
      <x:c r="G4" s="6" t="str">
        <x:v>Trend vs W1</x:v>
      </x:c>
      <x:c r="H4" s="6" t="str">
        <x:v>Health</x:v>
      </x:c>
    </x:row>
    <x:row r="5">
      <x:c r="A5" t="str">
        <x:v>OTIF %</x:v>
      </x:c>
      <x:c r="B5" s="26" t="n">
        <x:v>0.76</x:v>
      </x:c>
      <x:c r="C5" s="26" t="n">
        <x:v>0.94</x:v>
      </x:c>
      <x:c r="D5" s="26" t="n">
        <x:f>Weekly_Data!B13</x:f>
        <x:v>0.95</x:v>
      </x:c>
      <x:c r="E5" s="26" t="n">
        <x:f>D5-C5</x:f>
        <x:v>0.010000000000000009</x:v>
      </x:c>
      <x:c r="F5" s="26" t="n">
        <x:f>MIN(D5/C5,1)</x:f>
        <x:v>1</x:v>
      </x:c>
      <x:c r="G5" t="n">
        <x:f>D5-B5</x:f>
        <x:v>0.18999999999999995</x:v>
      </x:c>
      <x:c r="H5" t="str">
        <x:f>IF(D5&gt;=C5,"ON TRACK",IF(D5&gt;=C5*0.95,"AT RISK","OFF TRACK"))</x:f>
        <x:v>ON TRACK</x:v>
      </x:c>
    </x:row>
    <x:row r="6">
      <x:c r="A6" t="str">
        <x:v>OTD %</x:v>
      </x:c>
      <x:c r="B6" s="26" t="n">
        <x:v>0.82</x:v>
      </x:c>
      <x:c r="C6" s="26" t="n">
        <x:v>0.95</x:v>
      </x:c>
      <x:c r="D6" s="26" t="n">
        <x:f>Weekly_Data!C13</x:f>
        <x:v>0.96</x:v>
      </x:c>
      <x:c r="E6" s="26" t="n">
        <x:f>D6-C6</x:f>
        <x:v>0.010000000000000009</x:v>
      </x:c>
      <x:c r="F6" s="26" t="n">
        <x:f>MIN(D6/C6,1)</x:f>
        <x:v>1</x:v>
      </x:c>
      <x:c r="G6" t="n">
        <x:f>D6-B6</x:f>
        <x:v>0.14</x:v>
      </x:c>
      <x:c r="H6" t="str">
        <x:f>IF(D6&gt;=C6,"ON TRACK",IF(D6&gt;=C6*0.95,"AT RISK","OFF TRACK"))</x:f>
        <x:v>ON TRACK</x:v>
      </x:c>
    </x:row>
    <x:row r="7">
      <x:c r="A7" t="str">
        <x:v>In-Full %</x:v>
      </x:c>
      <x:c r="B7" s="26" t="n">
        <x:v>0.88</x:v>
      </x:c>
      <x:c r="C7" s="26" t="n">
        <x:v>0.97</x:v>
      </x:c>
      <x:c r="D7" s="26" t="n">
        <x:f>Weekly_Data!D13</x:f>
        <x:v>0.98</x:v>
      </x:c>
      <x:c r="E7" s="26" t="n">
        <x:f>D7-C7</x:f>
        <x:v>0.010000000000000009</x:v>
      </x:c>
      <x:c r="F7" s="26" t="n">
        <x:f>MIN(D7/C7,1)</x:f>
        <x:v>1</x:v>
      </x:c>
      <x:c r="G7" t="n">
        <x:f>D7-B7</x:f>
        <x:v>0.09999999999999998</x:v>
      </x:c>
      <x:c r="H7" t="str">
        <x:f>IF(D7&gt;=C7,"ON TRACK",IF(D7&gt;=C7*0.98,"AT RISK","OFF TRACK"))</x:f>
        <x:v>ON TRACK</x:v>
      </x:c>
    </x:row>
    <x:row r="8">
      <x:c r="A8" t="str">
        <x:v>Lead-Time Variance Days</x:v>
      </x:c>
      <x:c r="B8" t="n">
        <x:v>4.8</x:v>
      </x:c>
      <x:c r="C8" t="n">
        <x:v>1.5</x:v>
      </x:c>
      <x:c r="D8" t="n">
        <x:f>Weekly_Data!E13</x:f>
        <x:v>1.3</x:v>
      </x:c>
      <x:c r="E8" t="n">
        <x:f>C8-D8</x:f>
        <x:v>0.19999999999999996</x:v>
      </x:c>
      <x:c r="F8" s="26" t="n">
        <x:f>IF(D8&lt;=C8,1,C8/D8)</x:f>
        <x:v>1</x:v>
      </x:c>
      <x:c r="G8" t="n">
        <x:f>B8-D8</x:f>
        <x:v>3.5</x:v>
      </x:c>
      <x:c r="H8" t="str">
        <x:f>IF(D8&lt;=C8,"ON TRACK",IF(D8&lt;=C8*1.15,"AT RISK","OFF TRACK"))</x:f>
        <x:v>ON TRACK</x:v>
      </x:c>
    </x:row>
    <x:row r="9">
      <x:c r="A9" t="str">
        <x:v>Defect Rate %</x:v>
      </x:c>
      <x:c r="B9" s="26" t="n">
        <x:v>0.036</x:v>
      </x:c>
      <x:c r="C9" s="26" t="n">
        <x:v>0.015</x:v>
      </x:c>
      <x:c r="D9" s="26" t="n">
        <x:f>Weekly_Data!F13</x:f>
        <x:v>0.013</x:v>
      </x:c>
      <x:c r="E9" s="26" t="n">
        <x:f>C9-D9</x:f>
        <x:v>0.002</x:v>
      </x:c>
      <x:c r="F9" s="26" t="n">
        <x:f>IF(D9&lt;=C9,1,C9/D9)</x:f>
        <x:v>1</x:v>
      </x:c>
      <x:c r="G9" t="n">
        <x:f>B9-D9</x:f>
        <x:v>0.023</x:v>
      </x:c>
      <x:c r="H9" t="str">
        <x:f>IF(D9&lt;=C9,"ON TRACK",IF(D9&lt;=C9*1.15,"AT RISK","OFF TRACK"))</x:f>
        <x:v>ON TRACK</x:v>
      </x:c>
    </x:row>
    <x:row r="10">
      <x:c r="A10" t="str">
        <x:v>Expedite Cost</x:v>
      </x:c>
      <x:c r="B10" s="28" t="n">
        <x:v>84000</x:v>
      </x:c>
      <x:c r="C10" s="28" t="n">
        <x:v>30000</x:v>
      </x:c>
      <x:c r="D10" s="28" t="n">
        <x:f>Weekly_Data!G13</x:f>
        <x:v>27000</x:v>
      </x:c>
      <x:c r="E10" s="28" t="n">
        <x:f>C10-D10</x:f>
        <x:v>3000</x:v>
      </x:c>
      <x:c r="F10" s="26" t="n">
        <x:f>IF(D10&lt;=C10,1,C10/D10)</x:f>
        <x:v>1</x:v>
      </x:c>
      <x:c r="G10" t="n">
        <x:f>B10-D10</x:f>
        <x:v>57000</x:v>
      </x:c>
      <x:c r="H10" t="str">
        <x:f>IF(D10&lt;=C10,"ON TRACK",IF(D10&lt;=C10*1.15,"AT RISK","OFF TRACK"))</x:f>
        <x:v>ON TRACK</x:v>
      </x:c>
    </x:row>
    <x:row r="11">
      <x:c r="A11" t="str">
        <x:v>Critical Stockouts</x:v>
      </x:c>
      <x:c r="B11" t="n">
        <x:v>12</x:v>
      </x:c>
      <x:c r="C11" t="n">
        <x:v>3</x:v>
      </x:c>
      <x:c r="D11" t="n">
        <x:f>Weekly_Data!H13</x:f>
        <x:v>2</x:v>
      </x:c>
      <x:c r="E11" t="n">
        <x:f>C11-D11</x:f>
        <x:v>1</x:v>
      </x:c>
      <x:c r="F11" s="26" t="n">
        <x:f>IF(D11&lt;=C11,1,C11/D11)</x:f>
        <x:v>1</x:v>
      </x:c>
      <x:c r="G11" t="n">
        <x:f>B11-D11</x:f>
        <x:v>10</x:v>
      </x:c>
      <x:c r="H11" t="str">
        <x:f>IF(D11&lt;=C11,"ON TRACK",IF(D11&lt;=C11+1,"AT RISK","OFF TRACK"))</x:f>
        <x:v>ON TRACK</x:v>
      </x:c>
    </x:row>
    <x:row r="12">
      <x:c r="A12" t="str">
        <x:v>Corrective Action On-Time %</x:v>
      </x:c>
      <x:c r="B12" s="26" t="n">
        <x:v>0.58</x:v>
      </x:c>
      <x:c r="C12" s="26" t="n">
        <x:v>0.92</x:v>
      </x:c>
      <x:c r="D12" s="26" t="n">
        <x:f>Weekly_Data!I13</x:f>
        <x:v>0.94</x:v>
      </x:c>
      <x:c r="E12" s="26" t="n">
        <x:f>D12-C12</x:f>
        <x:v>0.019999999999999907</x:v>
      </x:c>
      <x:c r="F12" s="26" t="n">
        <x:f>MIN(D12/C12,1)</x:f>
        <x:v>1</x:v>
      </x:c>
      <x:c r="G12" t="n">
        <x:f>D12-B12</x:f>
        <x:v>0.36</x:v>
      </x:c>
      <x:c r="H12" t="str">
        <x:f>IF(D12&gt;=C12,"ON TRACK",IF(D12&gt;=C12*0.95,"AT RISK","OFF TRACK"))</x:f>
        <x:v>ON TRACK</x:v>
      </x:c>
    </x:row>
    <x:row r="15">
      <x:c r="A15" s="23" t="str">
        <x:v>EXECUTIVE COMMENTARY</x:v>
      </x:c>
      <x:c r="B15" s="23"/>
      <x:c r="C15" s="23"/>
      <x:c r="D15" s="23"/>
      <x:c r="E15" s="23"/>
      <x:c r="F15" s="23"/>
      <x:c r="H15" s="6" t="str">
        <x:v>TOP PRIORITIES</x:v>
      </x:c>
      <x:c r="I15" s="6" t="str">
        <x:v>Owner</x:v>
      </x:c>
      <x:c r="J15" s="6" t="str">
        <x:v>Due</x:v>
      </x:c>
      <x:c r="K15" s="6" t="str">
        <x:v>Status</x:v>
      </x:c>
      <x:c r="L15" s="6" t="str">
        <x:v>Management Response</x:v>
      </x:c>
    </x:row>
    <x:row r="16">
      <x:c r="A16" s="12" t="str">
        <x:v>WHAT HAPPENED: Modeled Week 12 met or exceeded all eight supplier-performance targets.
WHY: Supplier segmentation, reason-code discipline, recovery plans, SCAR effectiveness checks, and continuity controls improved reliability.
WHAT WE ARE DOING: Sustain red-supplier governance, audit lead-time parameters, control expedites, and verify corrective-action effectiveness.
DECISION NEEDED: Approve transition to monthly supplier governance for stable suppliers while retaining weekly review for red suppliers.</x:v>
      </x:c>
      <x:c r="B16" s="12"/>
      <x:c r="C16" s="12"/>
      <x:c r="D16" s="12"/>
      <x:c r="E16" s="12"/>
      <x:c r="F16" s="12"/>
      <x:c r="H16" t="str">
        <x:v>Recover remaining red suppliers</x:v>
      </x:c>
      <x:c r="I16" t="str">
        <x:v>Supplier Mgmt</x:v>
      </x:c>
      <x:c r="J16" t="str">
        <x:v>W13</x:v>
      </x:c>
      <x:c r="K16" t="str">
        <x:v>In Progress</x:v>
      </x:c>
      <x:c r="L16" t="str">
        <x:v>Weekly executive recovery plans</x:v>
      </x:c>
    </x:row>
    <x:row r="17">
      <x:c r="A17" s="12"/>
      <x:c r="B17" s="12"/>
      <x:c r="C17" s="12"/>
      <x:c r="D17" s="12"/>
      <x:c r="E17" s="12"/>
      <x:c r="F17" s="12"/>
      <x:c r="H17" t="str">
        <x:v>Protect continuity</x:v>
      </x:c>
      <x:c r="I17" t="str">
        <x:v>Planning</x:v>
      </x:c>
      <x:c r="J17" t="str">
        <x:v>W13</x:v>
      </x:c>
      <x:c r="K17" t="str">
        <x:v>In Progress</x:v>
      </x:c>
      <x:c r="L17" t="str">
        <x:v>Review critical-item coverage</x:v>
      </x:c>
    </x:row>
    <x:row r="18">
      <x:c r="A18" s="12"/>
      <x:c r="B18" s="12"/>
      <x:c r="C18" s="12"/>
      <x:c r="D18" s="12"/>
      <x:c r="E18" s="12"/>
      <x:c r="F18" s="12"/>
      <x:c r="H18" t="str">
        <x:v>Sustain quality gains</x:v>
      </x:c>
      <x:c r="I18" t="str">
        <x:v>Supplier Quality</x:v>
      </x:c>
      <x:c r="J18" t="str">
        <x:v>W14</x:v>
      </x:c>
      <x:c r="K18" t="str">
        <x:v>In Progress</x:v>
      </x:c>
      <x:c r="L18" t="str">
        <x:v>Effectiveness audits</x:v>
      </x:c>
    </x:row>
    <x:row r="19">
      <x:c r="A19" s="12"/>
      <x:c r="B19" s="12"/>
      <x:c r="C19" s="12"/>
      <x:c r="D19" s="12"/>
      <x:c r="E19" s="12"/>
      <x:c r="F19" s="12"/>
      <x:c r="H19" t="str">
        <x:v>Lock expedite reduction</x:v>
      </x:c>
      <x:c r="I19" t="str">
        <x:v>Supply Chain</x:v>
      </x:c>
      <x:c r="J19" t="str">
        <x:v>W14</x:v>
      </x:c>
      <x:c r="K19" t="str">
        <x:v>Planned</x:v>
      </x:c>
      <x:c r="L19" t="str">
        <x:v>Approval + root-cause governance</x:v>
      </x:c>
    </x:row>
    <x:row r="20">
      <x:c r="A20" s="12"/>
      <x:c r="B20" s="12"/>
      <x:c r="C20" s="12"/>
      <x:c r="D20" s="12"/>
      <x:c r="E20" s="12"/>
      <x:c r="F20" s="12"/>
    </x:row>
  </x:sheetData>
  <x:mergeCells>
    <x:mergeCell ref="A1:L2"/>
    <x:mergeCell ref="A15:F15"/>
    <x:mergeCell ref="A16:F20"/>
  </x:mergeCells>
  <x:conditionalFormatting sqref="H5:H12">
    <x:cfRule type="expression" dxfId="0" priority="1">
      <x:formula>H5="ON TRACK"</x:formula>
    </x:cfRule>
    <x:cfRule type="expression" dxfId="1" priority="2">
      <x:formula>H5="AT RISK"</x:formula>
    </x:cfRule>
    <x:cfRule type="expression" dxfId="2" priority="3">
      <x:formula>H5="OFF TRACK"</x:formula>
    </x:cfRule>
  </x:conditionalFormatting>
  <x:conditionalFormatting sqref="F5:F12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591fa95602a4d2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2B0229A-B8A0-18A0-91E7-8AEF68C0D762}">
            <x14:dataBar gradient="1">
              <x14:cfvo type="min"/>
              <x14:cfvo type="max"/>
              <x14:fillColor rgb="FF4472C4"/>
            </x14:dataBar>
          </x14:cfRule>
          <xm:sqref>F5:F12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7" hidden="0" customWidth="1"/>
    <x:col min="3" max="3" width="10.880000114440918" hidden="0" customWidth="1"/>
    <x:col min="4" max="4" width="3.880000114440918" hidden="0" customWidth="1"/>
    <x:col min="5" max="5" width="3.75" hidden="0" customWidth="1"/>
    <x:col min="6" max="6" width="5.25" hidden="0" customWidth="1"/>
    <x:col min="7" max="7" width="9.130000114440918" hidden="0" customWidth="1"/>
    <x:col min="8" max="8" width="8.880000114440918" hidden="0" customWidth="1"/>
    <x:col min="9" max="9" width="11.25" hidden="0" customWidth="1"/>
    <x:col min="10" max="10" width="10.630000114440918" hidden="0" customWidth="1"/>
    <x:col min="11" max="11" width="6.880000114440918" hidden="0" customWidth="1"/>
    <x:col min="12" max="12" width="5.630000114440918" hidden="0" customWidth="1"/>
    <x:col min="13" max="13" width="31.6299991607666" hidden="0" customWidth="1"/>
  </x:cols>
  <x:sheetData>
    <x:row r="1">
      <x:c r="A1" s="6" t="str">
        <x:v>Supplier</x:v>
      </x:c>
      <x:c r="B1" s="12" t="str">
        <x:v>Tier</x:v>
      </x:c>
      <x:c r="C1" s="12" t="str">
        <x:v>Annual Spend</x:v>
      </x:c>
      <x:c r="D1" s="12" t="str">
        <x:v>OTIF</x:v>
      </x:c>
      <x:c r="E1" s="12" t="str">
        <x:v>OTD</x:v>
      </x:c>
      <x:c r="F1" s="12" t="str">
        <x:v>In-Full</x:v>
      </x:c>
      <x:c r="G1" s="12" t="str">
        <x:v>Defect Rate</x:v>
      </x:c>
      <x:c r="H1" s="12" t="str">
        <x:v>LT Variance</x:v>
      </x:c>
      <x:c r="I1" s="12" t="str">
        <x:v>SCAR On-Time</x:v>
      </x:c>
      <x:c r="J1" s="12" t="str">
        <x:v>Expedite Cost</x:v>
      </x:c>
      <x:c r="K1" s="12" t="str">
        <x:v>Risk</x:v>
      </x:c>
      <x:c r="L1" s="12" t="str">
        <x:v>Health</x:v>
      </x:c>
      <x:c r="M1" s="12" t="str">
        <x:v>Management Action</x:v>
      </x:c>
    </x:row>
    <x:row r="2">
      <x:c r="A2" s="12" t="str">
        <x:v>Apex Components</x:v>
      </x:c>
      <x:c r="B2" s="12" t="str">
        <x:v>Strategic</x:v>
      </x:c>
      <x:c r="C2" s="32" t="n">
        <x:v>3200000</x:v>
      </x:c>
      <x:c r="D2" s="30" t="n">
        <x:v>0.97</x:v>
      </x:c>
      <x:c r="E2" s="30" t="n">
        <x:v>0.98</x:v>
      </x:c>
      <x:c r="F2" s="30" t="n">
        <x:v>0.99</x:v>
      </x:c>
      <x:c r="G2" s="30" t="n">
        <x:v>0.009</x:v>
      </x:c>
      <x:c r="H2" s="12" t="n">
        <x:v>1</x:v>
      </x:c>
      <x:c r="I2" s="30" t="n">
        <x:v>0.96</x:v>
      </x:c>
      <x:c r="J2" s="32" t="n">
        <x:v>6000</x:v>
      </x:c>
      <x:c r="K2" s="12" t="str">
        <x:v>Medium</x:v>
      </x:c>
      <x:c r="L2" s="12" t="str">
        <x:v>Green</x:v>
      </x:c>
      <x:c r="M2" s="12" t="str">
        <x:v>Maintain / quarterly capacity review</x:v>
      </x:c>
    </x:row>
    <x:row r="3">
      <x:c r="A3" s="12" t="str">
        <x:v>Northstar Materials</x:v>
      </x:c>
      <x:c r="B3" s="12" t="str">
        <x:v>Strategic</x:v>
      </x:c>
      <x:c r="C3" s="32" t="n">
        <x:v>2700000</x:v>
      </x:c>
      <x:c r="D3" s="30" t="n">
        <x:v>0.91</x:v>
      </x:c>
      <x:c r="E3" s="30" t="n">
        <x:v>0.93</x:v>
      </x:c>
      <x:c r="F3" s="30" t="n">
        <x:v>0.96</x:v>
      </x:c>
      <x:c r="G3" s="30" t="n">
        <x:v>0.018</x:v>
      </x:c>
      <x:c r="H3" s="12" t="n">
        <x:v>1.8</x:v>
      </x:c>
      <x:c r="I3" s="30" t="n">
        <x:v>0.88</x:v>
      </x:c>
      <x:c r="J3" s="32" t="n">
        <x:v>12000</x:v>
      </x:c>
      <x:c r="K3" s="12" t="str">
        <x:v>High</x:v>
      </x:c>
      <x:c r="L3" s="12" t="str">
        <x:v>Amber</x:v>
      </x:c>
      <x:c r="M3" s="12" t="str">
        <x:v>Weekly recovery + SCAR</x:v>
      </x:c>
    </x:row>
    <x:row r="4">
      <x:c r="A4" s="12" t="str">
        <x:v>Summit Packaging</x:v>
      </x:c>
      <x:c r="B4" s="12" t="str">
        <x:v>Core</x:v>
      </x:c>
      <x:c r="C4" s="32" t="n">
        <x:v>1400000</x:v>
      </x:c>
      <x:c r="D4" s="30" t="n">
        <x:v>0.96</x:v>
      </x:c>
      <x:c r="E4" s="30" t="n">
        <x:v>0.97</x:v>
      </x:c>
      <x:c r="F4" s="30" t="n">
        <x:v>0.98</x:v>
      </x:c>
      <x:c r="G4" s="30" t="n">
        <x:v>0.012</x:v>
      </x:c>
      <x:c r="H4" s="12" t="n">
        <x:v>1.2</x:v>
      </x:c>
      <x:c r="I4" s="30" t="n">
        <x:v>0.95</x:v>
      </x:c>
      <x:c r="J4" s="32" t="n">
        <x:v>3000</x:v>
      </x:c>
      <x:c r="K4" s="12" t="str">
        <x:v>Low</x:v>
      </x:c>
      <x:c r="L4" s="12" t="str">
        <x:v>Green</x:v>
      </x:c>
      <x:c r="M4" s="12" t="str">
        <x:v>Maintain</x:v>
      </x:c>
    </x:row>
    <x:row r="5">
      <x:c r="A5" s="12" t="str">
        <x:v>Vertex Electronics</x:v>
      </x:c>
      <x:c r="B5" s="12" t="str">
        <x:v>Strategic</x:v>
      </x:c>
      <x:c r="C5" s="32" t="n">
        <x:v>4100000</x:v>
      </x:c>
      <x:c r="D5" s="30" t="n">
        <x:v>0.86</x:v>
      </x:c>
      <x:c r="E5" s="30" t="n">
        <x:v>0.89</x:v>
      </x:c>
      <x:c r="F5" s="30" t="n">
        <x:v>0.94</x:v>
      </x:c>
      <x:c r="G5" s="30" t="n">
        <x:v>0.025</x:v>
      </x:c>
      <x:c r="H5" s="12" t="n">
        <x:v>2.7</x:v>
      </x:c>
      <x:c r="I5" s="30" t="n">
        <x:v>0.79</x:v>
      </x:c>
      <x:c r="J5" s="32" t="n">
        <x:v>21000</x:v>
      </x:c>
      <x:c r="K5" s="12" t="str">
        <x:v>Critical</x:v>
      </x:c>
      <x:c r="L5" s="12" t="str">
        <x:v>Red</x:v>
      </x:c>
      <x:c r="M5" s="12" t="str">
        <x:v>Executive recovery / sourcing contingency</x:v>
      </x:c>
    </x:row>
    <x:row r="6">
      <x:c r="A6" s="12" t="str">
        <x:v>BlueLine Logistics</x:v>
      </x:c>
      <x:c r="B6" s="12" t="str">
        <x:v>Core</x:v>
      </x:c>
      <x:c r="C6" s="32" t="n">
        <x:v>900000</x:v>
      </x:c>
      <x:c r="D6" s="30" t="n">
        <x:v>0.94</x:v>
      </x:c>
      <x:c r="E6" s="30" t="n">
        <x:v>0.95</x:v>
      </x:c>
      <x:c r="F6" s="30" t="n">
        <x:v>0.98</x:v>
      </x:c>
      <x:c r="G6" s="30" t="n">
        <x:v>0.01</x:v>
      </x:c>
      <x:c r="H6" s="12" t="n">
        <x:v>1.4</x:v>
      </x:c>
      <x:c r="I6" s="30" t="n">
        <x:v>0.93</x:v>
      </x:c>
      <x:c r="J6" s="32" t="n">
        <x:v>7000</x:v>
      </x:c>
      <x:c r="K6" s="12" t="str">
        <x:v>Medium</x:v>
      </x:c>
      <x:c r="L6" s="12" t="str">
        <x:v>Green</x:v>
      </x:c>
      <x:c r="M6" s="12" t="str">
        <x:v>Monitor lane exceptions</x:v>
      </x:c>
    </x:row>
    <x:row r="7">
      <x:c r="A7" s="12" t="str">
        <x:v>Precision Industrial</x:v>
      </x:c>
      <x:c r="B7" s="12" t="str">
        <x:v>Core</x:v>
      </x:c>
      <x:c r="C7" s="32" t="n">
        <x:v>1800000</x:v>
      </x:c>
      <x:c r="D7" s="30" t="n">
        <x:v>0.93</x:v>
      </x:c>
      <x:c r="E7" s="30" t="n">
        <x:v>0.95</x:v>
      </x:c>
      <x:c r="F7" s="30" t="n">
        <x:v>0.97</x:v>
      </x:c>
      <x:c r="G7" s="30" t="n">
        <x:v>0.014</x:v>
      </x:c>
      <x:c r="H7" s="12" t="n">
        <x:v>1.6</x:v>
      </x:c>
      <x:c r="I7" s="30" t="n">
        <x:v>0.91</x:v>
      </x:c>
      <x:c r="J7" s="32" t="n">
        <x:v>5000</x:v>
      </x:c>
      <x:c r="K7" s="12" t="str">
        <x:v>Medium</x:v>
      </x:c>
      <x:c r="L7" s="12" t="str">
        <x:v>Amber</x:v>
      </x:c>
      <x:c r="M7" s="12" t="str">
        <x:v>Close lead-time variance gap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1" hidden="0" customWidth="1"/>
    <x:col min="3" max="3" width="31" hidden="0" customWidth="1"/>
    <x:col min="4" max="4" width="12.5" hidden="0" customWidth="1"/>
    <x:col min="5" max="5" width="4.130000114440918" hidden="0" customWidth="1"/>
    <x:col min="6" max="6" width="4" hidden="0" customWidth="1"/>
    <x:col min="7" max="7" width="6.880000114440918" hidden="0" customWidth="1"/>
    <x:col min="8" max="8" width="9.880000114440918" hidden="0" customWidth="1"/>
    <x:col min="9" max="9" width="8.75" hidden="0" customWidth="1"/>
    <x:col min="10" max="10" width="17.25" hidden="0" customWidth="1"/>
  </x:cols>
  <x:sheetData>
    <x:row r="1">
      <x:c r="A1" s="6" t="str">
        <x:v>ID</x:v>
      </x:c>
      <x:c r="B1" s="12" t="str">
        <x:v>Workstream</x:v>
      </x:c>
      <x:c r="C1" s="12" t="str">
        <x:v>Action</x:v>
      </x:c>
      <x:c r="D1" s="12" t="str">
        <x:v>Owner</x:v>
      </x:c>
      <x:c r="E1" s="12" t="str">
        <x:v>Start</x:v>
      </x:c>
      <x:c r="F1" s="12" t="str">
        <x:v>Due</x:v>
      </x:c>
      <x:c r="G1" s="12" t="str">
        <x:v>Priority</x:v>
      </x:c>
      <x:c r="H1" s="12" t="str">
        <x:v>Dependency</x:v>
      </x:c>
      <x:c r="I1" s="12" t="str">
        <x:v>Status</x:v>
      </x:c>
      <x:c r="J1" s="12" t="str">
        <x:v>Evidence</x:v>
      </x:c>
    </x:row>
    <x:row r="2">
      <x:c r="A2" s="12" t="str">
        <x:v>A01</x:v>
      </x:c>
      <x:c r="B2" s="12" t="str">
        <x:v>Measurement</x:v>
      </x:c>
      <x:c r="C2" s="12" t="str">
        <x:v>Implement OTIF reason-code standard</x:v>
      </x:c>
      <x:c r="D2" s="12" t="str">
        <x:v>Supplier Mgmt</x:v>
      </x:c>
      <x:c r="E2" s="12" t="str">
        <x:v>W1</x:v>
      </x:c>
      <x:c r="F2" s="12" t="str">
        <x:v>W3</x:v>
      </x:c>
      <x:c r="G2" s="12" t="str">
        <x:v>High</x:v>
      </x:c>
      <x:c r="H2" s="12" t="str"/>
      <x:c r="I2" s="12" t="str">
        <x:v>Complete</x:v>
      </x:c>
      <x:c r="J2" s="12" t="str">
        <x:v>Reason-code audit</x:v>
      </x:c>
    </x:row>
    <x:row r="3">
      <x:c r="A3" s="12" t="str">
        <x:v>A02</x:v>
      </x:c>
      <x:c r="B3" s="12" t="str">
        <x:v>Segmentation</x:v>
      </x:c>
      <x:c r="C3" s="12" t="str">
        <x:v>Tier suppliers by criticality/risk</x:v>
      </x:c>
      <x:c r="D3" s="12" t="str">
        <x:v>Supply Chain</x:v>
      </x:c>
      <x:c r="E3" s="12" t="str">
        <x:v>W1</x:v>
      </x:c>
      <x:c r="F3" s="12" t="str">
        <x:v>W3</x:v>
      </x:c>
      <x:c r="G3" s="12" t="str">
        <x:v>High</x:v>
      </x:c>
      <x:c r="H3" s="12" t="str"/>
      <x:c r="I3" s="12" t="str">
        <x:v>Complete</x:v>
      </x:c>
      <x:c r="J3" s="12" t="str">
        <x:v>Risk model</x:v>
      </x:c>
    </x:row>
    <x:row r="4">
      <x:c r="A4" s="12" t="str">
        <x:v>A03</x:v>
      </x:c>
      <x:c r="B4" s="12" t="str">
        <x:v>Recovery</x:v>
      </x:c>
      <x:c r="C4" s="12" t="str">
        <x:v>Launch red-supplier recovery plans</x:v>
      </x:c>
      <x:c r="D4" s="12" t="str">
        <x:v>Supplier Mgmt</x:v>
      </x:c>
      <x:c r="E4" s="12" t="str">
        <x:v>W3</x:v>
      </x:c>
      <x:c r="F4" s="12" t="str">
        <x:v>W8</x:v>
      </x:c>
      <x:c r="G4" s="12" t="str">
        <x:v>Critical</x:v>
      </x:c>
      <x:c r="H4" s="12" t="str">
        <x:v>A01/A02</x:v>
      </x:c>
      <x:c r="I4" s="12" t="str">
        <x:v>Complete</x:v>
      </x:c>
      <x:c r="J4" s="12" t="str">
        <x:v>Recovery plans</x:v>
      </x:c>
    </x:row>
    <x:row r="5">
      <x:c r="A5" s="12" t="str">
        <x:v>A04</x:v>
      </x:c>
      <x:c r="B5" s="12" t="str">
        <x:v>Quality</x:v>
      </x:c>
      <x:c r="C5" s="12" t="str">
        <x:v>Standardize SCAR/CAPA closure</x:v>
      </x:c>
      <x:c r="D5" s="12" t="str">
        <x:v>Supplier Quality</x:v>
      </x:c>
      <x:c r="E5" s="12" t="str">
        <x:v>W3</x:v>
      </x:c>
      <x:c r="F5" s="12" t="str">
        <x:v>W9</x:v>
      </x:c>
      <x:c r="G5" s="12" t="str">
        <x:v>High</x:v>
      </x:c>
      <x:c r="H5" s="12" t="str">
        <x:v>A02</x:v>
      </x:c>
      <x:c r="I5" s="12" t="str">
        <x:v>Complete</x:v>
      </x:c>
      <x:c r="J5" s="12" t="str">
        <x:v>Effectiveness evidence</x:v>
      </x:c>
    </x:row>
    <x:row r="6">
      <x:c r="A6" s="12" t="str">
        <x:v>A05</x:v>
      </x:c>
      <x:c r="B6" s="12" t="str">
        <x:v>Continuity</x:v>
      </x:c>
      <x:c r="C6" s="12" t="str">
        <x:v>Review critical-item buffers/alternates</x:v>
      </x:c>
      <x:c r="D6" s="12" t="str">
        <x:v>Planning</x:v>
      </x:c>
      <x:c r="E6" s="12" t="str">
        <x:v>W4</x:v>
      </x:c>
      <x:c r="F6" s="12" t="str">
        <x:v>W9</x:v>
      </x:c>
      <x:c r="G6" s="12" t="str">
        <x:v>High</x:v>
      </x:c>
      <x:c r="H6" s="12" t="str">
        <x:v>A02</x:v>
      </x:c>
      <x:c r="I6" s="12" t="str">
        <x:v>Complete</x:v>
      </x:c>
      <x:c r="J6" s="12" t="str">
        <x:v>Continuity matrix</x:v>
      </x:c>
    </x:row>
    <x:row r="7">
      <x:c r="A7" s="12" t="str">
        <x:v>A06</x:v>
      </x:c>
      <x:c r="B7" s="12" t="str">
        <x:v>Cost</x:v>
      </x:c>
      <x:c r="C7" s="12" t="str">
        <x:v>Implement expedite approval/root cause</x:v>
      </x:c>
      <x:c r="D7" s="12" t="str">
        <x:v>Supply Chain</x:v>
      </x:c>
      <x:c r="E7" s="12" t="str">
        <x:v>W4</x:v>
      </x:c>
      <x:c r="F7" s="12" t="str">
        <x:v>W8</x:v>
      </x:c>
      <x:c r="G7" s="12" t="str">
        <x:v>High</x:v>
      </x:c>
      <x:c r="H7" s="12" t="str">
        <x:v>A01</x:v>
      </x:c>
      <x:c r="I7" s="12" t="str">
        <x:v>Complete</x:v>
      </x:c>
      <x:c r="J7" s="12" t="str">
        <x:v>Expedite log</x:v>
      </x:c>
    </x:row>
    <x:row r="8">
      <x:c r="A8" s="12" t="str">
        <x:v>A07</x:v>
      </x:c>
      <x:c r="B8" s="12" t="str">
        <x:v>Governance</x:v>
      </x:c>
      <x:c r="C8" s="12" t="str">
        <x:v>Run weekly supplier review</x:v>
      </x:c>
      <x:c r="D8" s="12" t="str">
        <x:v>Supply Chain</x:v>
      </x:c>
      <x:c r="E8" s="12" t="str">
        <x:v>W3</x:v>
      </x:c>
      <x:c r="F8" s="12" t="str">
        <x:v>W12</x:v>
      </x:c>
      <x:c r="G8" s="12" t="str">
        <x:v>High</x:v>
      </x:c>
      <x:c r="H8" s="12" t="str">
        <x:v>A01-A06</x:v>
      </x:c>
      <x:c r="I8" s="12" t="str">
        <x:v>In Progress</x:v>
      </x:c>
      <x:c r="J8" s="12" t="str">
        <x:v>WBR</x:v>
      </x:c>
    </x:row>
    <x:row r="9">
      <x:c r="A9" s="12" t="str">
        <x:v>A08</x:v>
      </x:c>
      <x:c r="B9" s="12" t="str">
        <x:v>Sustainment</x:v>
      </x:c>
      <x:c r="C9" s="12" t="str">
        <x:v>Transfer stable suppliers to BAU</x:v>
      </x:c>
      <x:c r="D9" s="12" t="str">
        <x:v>Supplier Mgmt</x:v>
      </x:c>
      <x:c r="E9" s="12" t="str">
        <x:v>W11</x:v>
      </x:c>
      <x:c r="F9" s="12" t="str">
        <x:v>W14</x:v>
      </x:c>
      <x:c r="G9" s="12" t="str">
        <x:v>Medium</x:v>
      </x:c>
      <x:c r="H9" s="12" t="str">
        <x:v>A07</x:v>
      </x:c>
      <x:c r="I9" s="12" t="str">
        <x:v>Planned</x:v>
      </x:c>
      <x:c r="J9" s="12" t="str">
        <x:v>Handoff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19.6299991607666" hidden="0" customWidth="1"/>
    <x:col min="3" max="3" width="8.130000114440918" hidden="0" customWidth="1"/>
    <x:col min="4" max="4" width="5.75" hidden="0" customWidth="1"/>
    <x:col min="5" max="5" width="4.630000114440918" hidden="0" customWidth="1"/>
    <x:col min="6" max="6" width="12.5" hidden="0" customWidth="1"/>
    <x:col min="7" max="7" width="21.8799991607666" hidden="0" customWidth="1"/>
    <x:col min="8" max="8" width="20.5" hidden="0" customWidth="1"/>
    <x:col min="9" max="9" width="8.380000114440918" hidden="0" customWidth="1"/>
    <x:col min="10" max="10" width="15.25" hidden="0" customWidth="1"/>
  </x:cols>
  <x:sheetData>
    <x:row r="1">
      <x:c r="A1" s="6" t="str">
        <x:v>ID</x:v>
      </x:c>
      <x:c r="B1" s="12" t="str">
        <x:v>Risk</x:v>
      </x:c>
      <x:c r="C1" s="12" t="str">
        <x:v>Likelihood</x:v>
      </x:c>
      <x:c r="D1" s="12" t="str">
        <x:v>Impact</x:v>
      </x:c>
      <x:c r="E1" s="12" t="str">
        <x:v>Score</x:v>
      </x:c>
      <x:c r="F1" s="12" t="str">
        <x:v>Owner</x:v>
      </x:c>
      <x:c r="G1" s="12" t="str">
        <x:v>Mitigation</x:v>
      </x:c>
      <x:c r="H1" s="12" t="str">
        <x:v>Trigger</x:v>
      </x:c>
      <x:c r="I1" s="12" t="str">
        <x:v>Status</x:v>
      </x:c>
      <x:c r="J1" s="12" t="str">
        <x:v>Escalation</x:v>
      </x:c>
    </x:row>
    <x:row r="2">
      <x:c r="A2" s="12" t="str">
        <x:v>R01</x:v>
      </x:c>
      <x:c r="B2" s="12" t="str">
        <x:v>Capacity failure</x:v>
      </x:c>
      <x:c r="C2" s="12" t="n">
        <x:v>3</x:v>
      </x:c>
      <x:c r="D2" s="12" t="n">
        <x:v>5</x:v>
      </x:c>
      <x:c r="E2" s="12" t="n">
        <x:f>C2*D2</x:f>
        <x:v>15</x:v>
      </x:c>
      <x:c r="F2" s="12" t="str">
        <x:v>Supplier Mgmt</x:v>
      </x:c>
      <x:c r="G2" s="12" t="str">
        <x:v>Capacity recovery plan</x:v>
      </x:c>
      <x:c r="H2" s="12" t="str">
        <x:v>Missed recovery milestone</x:v>
      </x:c>
      <x:c r="I2" s="12" t="str">
        <x:v>Controlled</x:v>
      </x:c>
      <x:c r="J2" s="12" t="str">
        <x:v>Executive/Sourcing</x:v>
      </x:c>
    </x:row>
    <x:row r="3">
      <x:c r="A3" s="12" t="str">
        <x:v>R02</x:v>
      </x:c>
      <x:c r="B3" s="12" t="str">
        <x:v>Quality escape</x:v>
      </x:c>
      <x:c r="C3" s="12" t="n">
        <x:v>2</x:v>
      </x:c>
      <x:c r="D3" s="12" t="n">
        <x:v>5</x:v>
      </x:c>
      <x:c r="E3" s="12" t="n">
        <x:f>C3*D3</x:f>
        <x:v>10</x:v>
      </x:c>
      <x:c r="F3" s="12" t="str">
        <x:v>Supplier Quality</x:v>
      </x:c>
      <x:c r="G3" s="12" t="str">
        <x:v>Containment + SCAR</x:v>
      </x:c>
      <x:c r="H3" s="12" t="str">
        <x:v>Repeat critical defect</x:v>
      </x:c>
      <x:c r="I3" s="12" t="str">
        <x:v>Controlled</x:v>
      </x:c>
      <x:c r="J3" s="12" t="str">
        <x:v>Quality leader</x:v>
      </x:c>
    </x:row>
    <x:row r="4">
      <x:c r="A4" s="12" t="str">
        <x:v>R03</x:v>
      </x:c>
      <x:c r="B4" s="12" t="str">
        <x:v>Single-source disruption</x:v>
      </x:c>
      <x:c r="C4" s="12" t="n">
        <x:v>3</x:v>
      </x:c>
      <x:c r="D4" s="12" t="n">
        <x:v>5</x:v>
      </x:c>
      <x:c r="E4" s="12" t="n">
        <x:f>C4*D4</x:f>
        <x:v>15</x:v>
      </x:c>
      <x:c r="F4" s="12" t="str">
        <x:v>Sourcing</x:v>
      </x:c>
      <x:c r="G4" s="12" t="str">
        <x:v>Alternate source assessment</x:v>
      </x:c>
      <x:c r="H4" s="12" t="str">
        <x:v>Continuity risk red</x:v>
      </x:c>
      <x:c r="I4" s="12" t="str">
        <x:v>Controlled</x:v>
      </x:c>
      <x:c r="J4" s="12" t="str">
        <x:v>Supply Chain leader</x:v>
      </x:c>
    </x:row>
    <x:row r="5">
      <x:c r="A5" s="12" t="str">
        <x:v>R04</x:v>
      </x:c>
      <x:c r="B5" s="12" t="str">
        <x:v>Forecast volatility</x:v>
      </x:c>
      <x:c r="C5" s="12" t="n">
        <x:v>3</x:v>
      </x:c>
      <x:c r="D5" s="12" t="n">
        <x:v>4</x:v>
      </x:c>
      <x:c r="E5" s="12" t="n">
        <x:f>C5*D5</x:f>
        <x:v>12</x:v>
      </x:c>
      <x:c r="F5" s="12" t="str">
        <x:v>Planning</x:v>
      </x:c>
      <x:c r="G5" s="12" t="str">
        <x:v>Commit/capacity review</x:v>
      </x:c>
      <x:c r="H5" s="12" t="str">
        <x:v>Variance beyond tolerance</x:v>
      </x:c>
      <x:c r="I5" s="12" t="str">
        <x:v>Controlled</x:v>
      </x:c>
      <x:c r="J5" s="12" t="str">
        <x:v>S&amp;OP</x:v>
      </x:c>
    </x:row>
    <x:row r="6">
      <x:c r="A6" s="12" t="str">
        <x:v>R05</x:v>
      </x:c>
      <x:c r="B6" s="12" t="str">
        <x:v>Logistics disruption</x:v>
      </x:c>
      <x:c r="C6" s="12" t="n">
        <x:v>2</x:v>
      </x:c>
      <x:c r="D6" s="12" t="n">
        <x:v>4</x:v>
      </x:c>
      <x:c r="E6" s="12" t="n">
        <x:f>C6*D6</x:f>
        <x:v>8</x:v>
      </x:c>
      <x:c r="F6" s="12" t="str">
        <x:v>Logistics</x:v>
      </x:c>
      <x:c r="G6" s="12" t="str">
        <x:v>Alternate lane/carrier</x:v>
      </x:c>
      <x:c r="H6" s="12" t="str">
        <x:v>Critical shipment delay</x:v>
      </x:c>
      <x:c r="I6" s="12" t="str">
        <x:v>Controlled</x:v>
      </x:c>
      <x:c r="J6" s="12" t="str">
        <x:v>Supply Chain</x:v>
      </x:c>
    </x:row>
    <x:row r="7">
      <x:c r="A7" s="12" t="str">
        <x:v>R06</x:v>
      </x:c>
      <x:c r="B7" s="12" t="str">
        <x:v>SCAR effectiveness failure</x:v>
      </x:c>
      <x:c r="C7" s="12" t="n">
        <x:v>3</x:v>
      </x:c>
      <x:c r="D7" s="12" t="n">
        <x:v>4</x:v>
      </x:c>
      <x:c r="E7" s="12" t="n">
        <x:f>C7*D7</x:f>
        <x:v>12</x:v>
      </x:c>
      <x:c r="F7" s="12" t="str">
        <x:v>Supplier Quality</x:v>
      </x:c>
      <x:c r="G7" s="12" t="str">
        <x:v>Effectiveness audit</x:v>
      </x:c>
      <x:c r="H7" s="12" t="str">
        <x:v>Repeat root cause</x:v>
      </x:c>
      <x:c r="I7" s="12" t="str">
        <x:v>Controlled</x:v>
      </x:c>
      <x:c r="J7" s="12" t="str">
        <x:v>Sourcing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5.130000114440918" hidden="0" customWidth="1"/>
    <x:col min="3" max="3" width="12.25" hidden="0" customWidth="1"/>
    <x:col min="4" max="4" width="6.880000114440918" hidden="0" customWidth="1"/>
    <x:col min="5" max="5" width="24" hidden="0" customWidth="1"/>
    <x:col min="6" max="6" width="17.75" hidden="0" customWidth="1"/>
    <x:col min="7" max="7" width="12.5" hidden="0" customWidth="1"/>
    <x:col min="8" max="8" width="4" hidden="0" customWidth="1"/>
    <x:col min="9" max="9" width="17.1299991607666" hidden="0" customWidth="1"/>
    <x:col min="10" max="10" width="8.75" hidden="0" customWidth="1"/>
    <x:col min="11" max="11" width="8" hidden="0" customWidth="1"/>
  </x:cols>
  <x:sheetData>
    <x:row r="1">
      <x:c r="A1" s="6" t="str">
        <x:v>SCAR</x:v>
      </x:c>
      <x:c r="B1" s="12" t="str">
        <x:v>Supplier</x:v>
      </x:c>
      <x:c r="C1" s="12" t="str">
        <x:v>Issue</x:v>
      </x:c>
      <x:c r="D1" s="12" t="str">
        <x:v>Severity</x:v>
      </x:c>
      <x:c r="E1" s="12" t="str">
        <x:v>Root Cause</x:v>
      </x:c>
      <x:c r="F1" s="12" t="str">
        <x:v>Corrective Action</x:v>
      </x:c>
      <x:c r="G1" s="12" t="str">
        <x:v>Owner</x:v>
      </x:c>
      <x:c r="H1" s="12" t="str">
        <x:v>Due</x:v>
      </x:c>
      <x:c r="I1" s="12" t="str">
        <x:v>Validation</x:v>
      </x:c>
      <x:c r="J1" s="12" t="str">
        <x:v>Status</x:v>
      </x:c>
      <x:c r="K1" s="12" t="str">
        <x:v>Escalation</x:v>
      </x:c>
    </x:row>
    <x:row r="2">
      <x:c r="A2" s="12" t="str">
        <x:v>SC-101</x:v>
      </x:c>
      <x:c r="B2" s="12" t="str">
        <x:v>Vertex Electronics</x:v>
      </x:c>
      <x:c r="C2" s="12" t="str">
        <x:v>Late production</x:v>
      </x:c>
      <x:c r="D2" s="12" t="str">
        <x:v>High</x:v>
      </x:c>
      <x:c r="E2" s="12" t="str">
        <x:v>Capacity planning gap</x:v>
      </x:c>
      <x:c r="F2" s="12" t="str">
        <x:v>Dedicated capacity slot</x:v>
      </x:c>
      <x:c r="G2" s="12" t="str">
        <x:v>Supplier Ops</x:v>
      </x:c>
      <x:c r="H2" s="12" t="str">
        <x:v>W10</x:v>
      </x:c>
      <x:c r="I2" s="12" t="str">
        <x:v>3-week OTIF check</x:v>
      </x:c>
      <x:c r="J2" s="12" t="str">
        <x:v>Closed</x:v>
      </x:c>
      <x:c r="K2" s="12" t="str">
        <x:v>No</x:v>
      </x:c>
    </x:row>
    <x:row r="3">
      <x:c r="A3" s="12" t="str">
        <x:v>SC-102</x:v>
      </x:c>
      <x:c r="B3" s="12" t="str">
        <x:v>Northstar Materials</x:v>
      </x:c>
      <x:c r="C3" s="12" t="str">
        <x:v>Short shipment</x:v>
      </x:c>
      <x:c r="D3" s="12" t="str">
        <x:v>High</x:v>
      </x:c>
      <x:c r="E3" s="12" t="str">
        <x:v>Material constraint</x:v>
      </x:c>
      <x:c r="F3" s="12" t="str">
        <x:v>Safety material plan</x:v>
      </x:c>
      <x:c r="G3" s="12" t="str">
        <x:v>Supplier Ops</x:v>
      </x:c>
      <x:c r="H3" s="12" t="str">
        <x:v>W12</x:v>
      </x:c>
      <x:c r="I3" s="12" t="str">
        <x:v>Fill-rate validation</x:v>
      </x:c>
      <x:c r="J3" s="12" t="str">
        <x:v>In Progress</x:v>
      </x:c>
      <x:c r="K3" s="12" t="str">
        <x:v>No</x:v>
      </x:c>
    </x:row>
    <x:row r="4">
      <x:c r="A4" s="12" t="str">
        <x:v>SC-103</x:v>
      </x:c>
      <x:c r="B4" s="12" t="str">
        <x:v>Vertex Electronics</x:v>
      </x:c>
      <x:c r="C4" s="12" t="str">
        <x:v>Quality defect</x:v>
      </x:c>
      <x:c r="D4" s="12" t="str">
        <x:v>Critical</x:v>
      </x:c>
      <x:c r="E4" s="12" t="str">
        <x:v>Process control drift</x:v>
      </x:c>
      <x:c r="F4" s="12" t="str">
        <x:v>Control-plan revision</x:v>
      </x:c>
      <x:c r="G4" s="12" t="str">
        <x:v>Supplier Quality</x:v>
      </x:c>
      <x:c r="H4" s="12" t="str">
        <x:v>W11</x:v>
      </x:c>
      <x:c r="I4" s="12" t="str">
        <x:v>Incoming quality audit</x:v>
      </x:c>
      <x:c r="J4" s="12" t="str">
        <x:v>In Progress</x:v>
      </x:c>
      <x:c r="K4" s="12" t="str">
        <x:v>Yes</x:v>
      </x:c>
    </x:row>
    <x:row r="5">
      <x:c r="A5" s="12" t="str">
        <x:v>SC-104</x:v>
      </x:c>
      <x:c r="B5" s="12" t="str">
        <x:v>Precision Industrial</x:v>
      </x:c>
      <x:c r="C5" s="12" t="str">
        <x:v>Late shipment</x:v>
      </x:c>
      <x:c r="D5" s="12" t="str">
        <x:v>Medium</x:v>
      </x:c>
      <x:c r="E5" s="12" t="str">
        <x:v>Lead-time parameter mismatch</x:v>
      </x:c>
      <x:c r="F5" s="12" t="str">
        <x:v>Reset lead time</x:v>
      </x:c>
      <x:c r="G5" s="12" t="str">
        <x:v>Planner</x:v>
      </x:c>
      <x:c r="H5" s="12" t="str">
        <x:v>W10</x:v>
      </x:c>
      <x:c r="I5" s="12" t="str">
        <x:v>PO adherence</x:v>
      </x:c>
      <x:c r="J5" s="12" t="str">
        <x:v>Closed</x:v>
      </x:c>
      <x:c r="K5" s="12" t="str">
        <x:v>No</x:v>
      </x:c>
    </x:row>
    <x:row r="6">
      <x:c r="A6" s="12" t="str">
        <x:v>SC-105</x:v>
      </x:c>
      <x:c r="B6" s="12" t="str">
        <x:v>BlueLine Logistics</x:v>
      </x:c>
      <x:c r="C6" s="12" t="str">
        <x:v>Carrier delay</x:v>
      </x:c>
      <x:c r="D6" s="12" t="str">
        <x:v>Medium</x:v>
      </x:c>
      <x:c r="E6" s="12" t="str">
        <x:v>Lane capacity</x:v>
      </x:c>
      <x:c r="F6" s="12" t="str">
        <x:v>Backup carrier</x:v>
      </x:c>
      <x:c r="G6" s="12" t="str">
        <x:v>Logistics</x:v>
      </x:c>
      <x:c r="H6" s="12" t="str">
        <x:v>W9</x:v>
      </x:c>
      <x:c r="I6" s="12" t="str">
        <x:v>Lane performance</x:v>
      </x:c>
      <x:c r="J6" s="12" t="str">
        <x:v>Closed</x:v>
      </x:c>
      <x:c r="K6" s="12" t="str">
        <x:v>No</x:v>
      </x:c>
    </x:row>
    <x:row r="7">
      <x:c r="A7" s="12" t="str">
        <x:v>SC-106</x:v>
      </x:c>
      <x:c r="B7" s="12" t="str">
        <x:v>Summit Packaging</x:v>
      </x:c>
      <x:c r="C7" s="12" t="str">
        <x:v>Documentation</x:v>
      </x:c>
      <x:c r="D7" s="12" t="str">
        <x:v>Low</x:v>
      </x:c>
      <x:c r="E7" s="12" t="str">
        <x:v>Manual error</x:v>
      </x:c>
      <x:c r="F7" s="12" t="str">
        <x:v>Checklist</x:v>
      </x:c>
      <x:c r="G7" s="12" t="str">
        <x:v>Supplier CSR</x:v>
      </x:c>
      <x:c r="H7" s="12" t="str">
        <x:v>W8</x:v>
      </x:c>
      <x:c r="I7" s="12" t="str">
        <x:v>3 clean shipments</x:v>
      </x:c>
      <x:c r="J7" s="12" t="str">
        <x:v>Closed</x:v>
      </x:c>
      <x:c r="K7" s="12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.75" hidden="0" customWidth="1"/>
    <x:col min="2" max="2" width="15.130000114440918" hidden="0" customWidth="1"/>
    <x:col min="3" max="3" width="16.5" hidden="0" customWidth="1"/>
    <x:col min="4" max="4" width="5.25" hidden="0" customWidth="1"/>
    <x:col min="5" max="5" width="12.380000114440918" hidden="0" customWidth="1"/>
    <x:col min="6" max="6" width="7.75" hidden="0" customWidth="1"/>
    <x:col min="7" max="7" width="17.3799991607666" hidden="0" customWidth="1"/>
    <x:col min="8" max="8" width="16.3799991607666" hidden="0" customWidth="1"/>
    <x:col min="9" max="9" width="5.5" hidden="0" customWidth="1"/>
    <x:col min="10" max="10" width="6.630000114440918" hidden="0" customWidth="1"/>
  </x:cols>
  <x:sheetData>
    <x:row r="1">
      <x:c r="A1" s="6" t="str">
        <x:v>ID</x:v>
      </x:c>
      <x:c r="B1" s="12" t="str">
        <x:v>Supplier</x:v>
      </x:c>
      <x:c r="C1" s="12" t="str">
        <x:v>Reason</x:v>
      </x:c>
      <x:c r="D1" s="12" t="str">
        <x:v>Cost</x:v>
      </x:c>
      <x:c r="E1" s="12" t="str">
        <x:v>Business Risk</x:v>
      </x:c>
      <x:c r="F1" s="12" t="str">
        <x:v>Approval</x:v>
      </x:c>
      <x:c r="G1" s="12" t="str">
        <x:v>Root Cause</x:v>
      </x:c>
      <x:c r="H1" s="12" t="str">
        <x:v>Prevention</x:v>
      </x:c>
      <x:c r="I1" s="12" t="str">
        <x:v>Status</x:v>
      </x:c>
      <x:c r="J1" s="12" t="str">
        <x:v>Repeat?</x:v>
      </x:c>
    </x:row>
    <x:row r="2">
      <x:c r="A2" s="12" t="str">
        <x:v>EX-01</x:v>
      </x:c>
      <x:c r="B2" s="12" t="str">
        <x:v>Vertex Electronics</x:v>
      </x:c>
      <x:c r="C2" s="12" t="str">
        <x:v>Production recovery</x:v>
      </x:c>
      <x:c r="D2" s="12" t="n">
        <x:v>12000</x:v>
      </x:c>
      <x:c r="E2" s="12" t="str">
        <x:v>Critical stockout</x:v>
      </x:c>
      <x:c r="F2" s="12" t="str">
        <x:v>Approved</x:v>
      </x:c>
      <x:c r="G2" s="12" t="str">
        <x:v>Capacity</x:v>
      </x:c>
      <x:c r="H2" s="12" t="str">
        <x:v>Recovery plan</x:v>
      </x:c>
      <x:c r="I2" s="12" t="str">
        <x:v>Closed</x:v>
      </x:c>
      <x:c r="J2" s="12" t="str">
        <x:v>Yes</x:v>
      </x:c>
    </x:row>
    <x:row r="3">
      <x:c r="A3" s="12" t="str">
        <x:v>EX-02</x:v>
      </x:c>
      <x:c r="B3" s="12" t="str">
        <x:v>Northstar Materials</x:v>
      </x:c>
      <x:c r="C3" s="12" t="str">
        <x:v>Short shipment</x:v>
      </x:c>
      <x:c r="D3" s="12" t="n">
        <x:v>6500</x:v>
      </x:c>
      <x:c r="E3" s="12" t="str">
        <x:v>Service risk</x:v>
      </x:c>
      <x:c r="F3" s="12" t="str">
        <x:v>Approved</x:v>
      </x:c>
      <x:c r="G3" s="12" t="str">
        <x:v>Material shortage</x:v>
      </x:c>
      <x:c r="H3" s="12" t="str">
        <x:v>Material plan</x:v>
      </x:c>
      <x:c r="I3" s="12" t="str">
        <x:v>Closed</x:v>
      </x:c>
      <x:c r="J3" s="12" t="str">
        <x:v>Yes</x:v>
      </x:c>
    </x:row>
    <x:row r="4">
      <x:c r="A4" s="12" t="str">
        <x:v>EX-03</x:v>
      </x:c>
      <x:c r="B4" s="12" t="str">
        <x:v>BlueLine Logistics</x:v>
      </x:c>
      <x:c r="C4" s="12" t="str">
        <x:v>Carrier miss</x:v>
      </x:c>
      <x:c r="D4" s="12" t="n">
        <x:v>3800</x:v>
      </x:c>
      <x:c r="E4" s="12" t="str">
        <x:v>Customer delay</x:v>
      </x:c>
      <x:c r="F4" s="12" t="str">
        <x:v>Approved</x:v>
      </x:c>
      <x:c r="G4" s="12" t="str">
        <x:v>Lane capacity</x:v>
      </x:c>
      <x:c r="H4" s="12" t="str">
        <x:v>Backup carrier</x:v>
      </x:c>
      <x:c r="I4" s="12" t="str">
        <x:v>Closed</x:v>
      </x:c>
      <x:c r="J4" s="12" t="str">
        <x:v>No</x:v>
      </x:c>
    </x:row>
    <x:row r="5">
      <x:c r="A5" s="12" t="str">
        <x:v>EX-04</x:v>
      </x:c>
      <x:c r="B5" s="12" t="str">
        <x:v>Precision Industrial</x:v>
      </x:c>
      <x:c r="C5" s="12" t="str">
        <x:v>PO parameter issue</x:v>
      </x:c>
      <x:c r="D5" s="12" t="n">
        <x:v>2200</x:v>
      </x:c>
      <x:c r="E5" s="12" t="str">
        <x:v>Production risk</x:v>
      </x:c>
      <x:c r="F5" s="12" t="str">
        <x:v>Approved</x:v>
      </x:c>
      <x:c r="G5" s="12" t="str">
        <x:v>Lead-time master data</x:v>
      </x:c>
      <x:c r="H5" s="12" t="str">
        <x:v>Parameter correction</x:v>
      </x:c>
      <x:c r="I5" s="12" t="str">
        <x:v>Closed</x:v>
      </x:c>
      <x:c r="J5" s="12" t="str">
        <x:v>No</x:v>
      </x:c>
    </x:row>
    <x:row r="6">
      <x:c r="A6" s="12" t="str">
        <x:v>EX-05</x:v>
      </x:c>
      <x:c r="B6" s="12" t="str">
        <x:v>Vertex Electronics</x:v>
      </x:c>
      <x:c r="C6" s="12" t="str">
        <x:v>Quality replacement</x:v>
      </x:c>
      <x:c r="D6" s="12" t="n">
        <x:v>9000</x:v>
      </x:c>
      <x:c r="E6" s="12" t="str">
        <x:v>Production stop</x:v>
      </x:c>
      <x:c r="F6" s="12" t="str">
        <x:v>Approved</x:v>
      </x:c>
      <x:c r="G6" s="12" t="str">
        <x:v>Quality escape</x:v>
      </x:c>
      <x:c r="H6" s="12" t="str">
        <x:v>SCAR</x:v>
      </x:c>
      <x:c r="I6" s="12" t="str">
        <x:v>Open</x:v>
      </x:c>
      <x:c r="J6" s="12" t="str">
        <x:v>Yes</x:v>
      </x:c>
    </x:row>
    <x:row r="7">
      <x:c r="A7" s="12" t="str">
        <x:v>EX-06</x:v>
      </x:c>
      <x:c r="B7" s="12" t="str">
        <x:v>Summit Packaging</x:v>
      </x:c>
      <x:c r="C7" s="12" t="str">
        <x:v>Documentation delay</x:v>
      </x:c>
      <x:c r="D7" s="12" t="n">
        <x:v>900</x:v>
      </x:c>
      <x:c r="E7" s="12" t="str">
        <x:v>Low</x:v>
      </x:c>
      <x:c r="F7" s="12" t="str">
        <x:v>Approved</x:v>
      </x:c>
      <x:c r="G7" s="12" t="str">
        <x:v>Manual error</x:v>
      </x:c>
      <x:c r="H7" s="12" t="str">
        <x:v>Checklist</x:v>
      </x:c>
      <x:c r="I7" s="12" t="str">
        <x:v>Closed</x:v>
      </x:c>
      <x:c r="J7" s="12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5.130000114440918" hidden="0" customWidth="1"/>
    <x:col min="3" max="3" width="7.5" hidden="0" customWidth="1"/>
    <x:col min="4" max="4" width="10.5" hidden="0" customWidth="1"/>
    <x:col min="5" max="5" width="8.75" hidden="0" customWidth="1"/>
    <x:col min="6" max="6" width="5.630000114440918" hidden="0" customWidth="1"/>
    <x:col min="7" max="7" width="18.6299991607666" hidden="0" customWidth="1"/>
    <x:col min="8" max="8" width="10.630000114440918" hidden="0" customWidth="1"/>
    <x:col min="9" max="9" width="7" hidden="0" customWidth="1"/>
    <x:col min="10" max="10" width="15.630000114440918" hidden="0" customWidth="1"/>
  </x:cols>
  <x:sheetData>
    <x:row r="1">
      <x:c r="A1" s="6" t="str">
        <x:v>Material</x:v>
      </x:c>
      <x:c r="B1" s="12" t="str">
        <x:v>Supplier</x:v>
      </x:c>
      <x:c r="C1" s="12" t="str">
        <x:v>Criticality</x:v>
      </x:c>
      <x:c r="D1" s="12" t="str">
        <x:v>Single Source</x:v>
      </x:c>
      <x:c r="E1" s="12" t="str">
        <x:v>Days Cover</x:v>
      </x:c>
      <x:c r="F1" s="12" t="str">
        <x:v>Risk</x:v>
      </x:c>
      <x:c r="G1" s="12" t="str">
        <x:v>Alternate</x:v>
      </x:c>
      <x:c r="H1" s="12" t="str">
        <x:v>Trigger</x:v>
      </x:c>
      <x:c r="I1" s="12" t="str">
        <x:v>Owner</x:v>
      </x:c>
      <x:c r="J1" s="12" t="str">
        <x:v>Action</x:v>
      </x:c>
    </x:row>
    <x:row r="2">
      <x:c r="A2" s="12" t="str">
        <x:v>Control Module</x:v>
      </x:c>
      <x:c r="B2" s="12" t="str">
        <x:v>Vertex Electronics</x:v>
      </x:c>
      <x:c r="C2" s="12" t="str">
        <x:v>Critical</x:v>
      </x:c>
      <x:c r="D2" s="12" t="str">
        <x:v>Yes</x:v>
      </x:c>
      <x:c r="E2" s="12" t="n">
        <x:v>6</x:v>
      </x:c>
      <x:c r="F2" s="12" t="str">
        <x:v>Red</x:v>
      </x:c>
      <x:c r="G2" s="12" t="str">
        <x:v>Qualification in progress</x:v>
      </x:c>
      <x:c r="H2" s="12" t="str">
        <x:v>&lt;7 days cover</x:v>
      </x:c>
      <x:c r="I2" s="12" t="str">
        <x:v>Sourcing</x:v>
      </x:c>
      <x:c r="J2" s="12" t="str">
        <x:v>Accelerate alternate</x:v>
      </x:c>
    </x:row>
    <x:row r="3">
      <x:c r="A3" s="12" t="str">
        <x:v>Resin A</x:v>
      </x:c>
      <x:c r="B3" s="12" t="str">
        <x:v>Northstar Materials</x:v>
      </x:c>
      <x:c r="C3" s="12" t="str">
        <x:v>High</x:v>
      </x:c>
      <x:c r="D3" s="12" t="str">
        <x:v>No</x:v>
      </x:c>
      <x:c r="E3" s="12" t="n">
        <x:v>12</x:v>
      </x:c>
      <x:c r="F3" s="12" t="str">
        <x:v>Amber</x:v>
      </x:c>
      <x:c r="G3" s="12" t="str">
        <x:v>Approved alternate</x:v>
      </x:c>
      <x:c r="H3" s="12" t="str">
        <x:v>&lt;10 days</x:v>
      </x:c>
      <x:c r="I3" s="12" t="str">
        <x:v>Planning</x:v>
      </x:c>
      <x:c r="J3" s="12" t="str">
        <x:v>Monitor recovery</x:v>
      </x:c>
    </x:row>
    <x:row r="4">
      <x:c r="A4" s="12" t="str">
        <x:v>Carton 24</x:v>
      </x:c>
      <x:c r="B4" s="12" t="str">
        <x:v>Summit Packaging</x:v>
      </x:c>
      <x:c r="C4" s="12" t="str">
        <x:v>Medium</x:v>
      </x:c>
      <x:c r="D4" s="12" t="str">
        <x:v>No</x:v>
      </x:c>
      <x:c r="E4" s="12" t="n">
        <x:v>24</x:v>
      </x:c>
      <x:c r="F4" s="12" t="str">
        <x:v>Green</x:v>
      </x:c>
      <x:c r="G4" s="12" t="str">
        <x:v>Yes</x:v>
      </x:c>
      <x:c r="H4" s="12" t="str">
        <x:v>&lt;10 days</x:v>
      </x:c>
      <x:c r="I4" s="12" t="str">
        <x:v>Buyer</x:v>
      </x:c>
      <x:c r="J4" s="12" t="str">
        <x:v>Maintain</x:v>
      </x:c>
    </x:row>
    <x:row r="5">
      <x:c r="A5" s="12" t="str">
        <x:v>Sensor Kit</x:v>
      </x:c>
      <x:c r="B5" s="12" t="str">
        <x:v>Precision Industrial</x:v>
      </x:c>
      <x:c r="C5" s="12" t="str">
        <x:v>High</x:v>
      </x:c>
      <x:c r="D5" s="12" t="str">
        <x:v>No</x:v>
      </x:c>
      <x:c r="E5" s="12" t="n">
        <x:v>14</x:v>
      </x:c>
      <x:c r="F5" s="12" t="str">
        <x:v>Amber</x:v>
      </x:c>
      <x:c r="G5" s="12" t="str">
        <x:v>Yes</x:v>
      </x:c>
      <x:c r="H5" s="12" t="str">
        <x:v>&lt;10 days</x:v>
      </x:c>
      <x:c r="I5" s="12" t="str">
        <x:v>Planning</x:v>
      </x:c>
      <x:c r="J5" s="12" t="str">
        <x:v>Monitor LT</x:v>
      </x:c>
    </x:row>
    <x:row r="6">
      <x:c r="A6" s="12" t="str">
        <x:v>Freight Lane X</x:v>
      </x:c>
      <x:c r="B6" s="12" t="str">
        <x:v>BlueLine Logistics</x:v>
      </x:c>
      <x:c r="C6" s="12" t="str">
        <x:v>High</x:v>
      </x:c>
      <x:c r="D6" s="12" t="str">
        <x:v>No</x:v>
      </x:c>
      <x:c r="E6" s="12" t="n">
        <x:v>8</x:v>
      </x:c>
      <x:c r="F6" s="12" t="str">
        <x:v>Amber</x:v>
      </x:c>
      <x:c r="G6" s="12" t="str">
        <x:v>Backup carrier</x:v>
      </x:c>
      <x:c r="H6" s="12" t="str">
        <x:v>Carrier miss</x:v>
      </x:c>
      <x:c r="I6" s="12" t="str">
        <x:v>Logistics</x:v>
      </x:c>
      <x:c r="J6" s="12" t="str">
        <x:v>Maintain backup</x:v>
      </x:c>
    </x:row>
    <x:row r="7">
      <x:c r="A7" s="12" t="str">
        <x:v>Fastener Set</x:v>
      </x:c>
      <x:c r="B7" s="12" t="str">
        <x:v>Apex Components</x:v>
      </x:c>
      <x:c r="C7" s="12" t="str">
        <x:v>Medium</x:v>
      </x:c>
      <x:c r="D7" s="12" t="str">
        <x:v>No</x:v>
      </x:c>
      <x:c r="E7" s="12" t="n">
        <x:v>30</x:v>
      </x:c>
      <x:c r="F7" s="12" t="str">
        <x:v>Green</x:v>
      </x:c>
      <x:c r="G7" s="12" t="str">
        <x:v>Yes</x:v>
      </x:c>
      <x:c r="H7" s="12" t="str">
        <x:v>&lt;12 days</x:v>
      </x:c>
      <x:c r="I7" s="12" t="str">
        <x:v>Buyer</x:v>
      </x:c>
      <x:c r="J7" s="12" t="str">
        <x:v>Maintain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25" hidden="0" customWidth="1"/>
    <x:col min="3" max="3" width="12.5" hidden="0" customWidth="1"/>
    <x:col min="4" max="4" width="13.880000114440918" hidden="0" customWidth="1"/>
    <x:col min="5" max="5" width="19.3799991607666" hidden="0" customWidth="1"/>
    <x:col min="6" max="6" width="15.5" hidden="0" customWidth="1"/>
    <x:col min="7" max="7" width="15.25" hidden="0" customWidth="1"/>
    <x:col min="8" max="8" width="5.130000114440918" hidden="0" customWidth="1"/>
    <x:col min="9" max="9" width="6.880000114440918" hidden="0" customWidth="1"/>
  </x:cols>
  <x:sheetData>
    <x:row r="1">
      <x:c r="A1" s="6" t="str">
        <x:v>Control</x:v>
      </x:c>
      <x:c r="B1" s="12" t="str">
        <x:v>Frequency</x:v>
      </x:c>
      <x:c r="C1" s="12" t="str">
        <x:v>Owner</x:v>
      </x:c>
      <x:c r="D1" s="12" t="str">
        <x:v>Evidence</x:v>
      </x:c>
      <x:c r="E1" s="12" t="str">
        <x:v>Threshold</x:v>
      </x:c>
      <x:c r="F1" s="12" t="str">
        <x:v>Response</x:v>
      </x:c>
      <x:c r="G1" s="12" t="str">
        <x:v>Escalation</x:v>
      </x:c>
      <x:c r="H1" s="12" t="str">
        <x:v>Status</x:v>
      </x:c>
      <x:c r="I1" s="12" t="str">
        <x:v>Audit</x:v>
      </x:c>
    </x:row>
    <x:row r="2">
      <x:c r="A2" s="12" t="str">
        <x:v>OTIF exception review</x:v>
      </x:c>
      <x:c r="B2" s="12" t="str">
        <x:v>Weekly</x:v>
      </x:c>
      <x:c r="C2" s="12" t="str">
        <x:v>Supplier Mgmt</x:v>
      </x:c>
      <x:c r="D2" s="12" t="str">
        <x:v>Scorecard</x:v>
      </x:c>
      <x:c r="E2" s="12" t="str">
        <x:v>&gt;=94%</x:v>
      </x:c>
      <x:c r="F2" s="12" t="str">
        <x:v>Recovery plan</x:v>
      </x:c>
      <x:c r="G2" s="12" t="str">
        <x:v>Supply Chain leader</x:v>
      </x:c>
      <x:c r="H2" s="12" t="str">
        <x:v>Active</x:v>
      </x:c>
      <x:c r="I2" s="12" t="str">
        <x:v>Weekly</x:v>
      </x:c>
    </x:row>
    <x:row r="3">
      <x:c r="A3" s="12" t="str">
        <x:v>Critical shortage review</x:v>
      </x:c>
      <x:c r="B3" s="12" t="str">
        <x:v>Daily</x:v>
      </x:c>
      <x:c r="C3" s="12" t="str">
        <x:v>Planning</x:v>
      </x:c>
      <x:c r="D3" s="12" t="str">
        <x:v>Shortage list</x:v>
      </x:c>
      <x:c r="E3" s="12" t="str">
        <x:v>No uncontrolled stockout</x:v>
      </x:c>
      <x:c r="F3" s="12" t="str">
        <x:v>Contain/reallocate</x:v>
      </x:c>
      <x:c r="G3" s="12" t="str">
        <x:v>Ops leader</x:v>
      </x:c>
      <x:c r="H3" s="12" t="str">
        <x:v>Active</x:v>
      </x:c>
      <x:c r="I3" s="12" t="str">
        <x:v>Daily</x:v>
      </x:c>
    </x:row>
    <x:row r="4">
      <x:c r="A4" s="12" t="str">
        <x:v>SCAR aging</x:v>
      </x:c>
      <x:c r="B4" s="12" t="str">
        <x:v>Weekly</x:v>
      </x:c>
      <x:c r="C4" s="12" t="str">
        <x:v>Supplier Quality</x:v>
      </x:c>
      <x:c r="D4" s="12" t="str">
        <x:v>SCAR log</x:v>
      </x:c>
      <x:c r="E4" s="12" t="str">
        <x:v>&gt;=92% on time</x:v>
      </x:c>
      <x:c r="F4" s="12" t="str">
        <x:v>Escalate overdue</x:v>
      </x:c>
      <x:c r="G4" s="12" t="str">
        <x:v>Quality/Sourcing</x:v>
      </x:c>
      <x:c r="H4" s="12" t="str">
        <x:v>Active</x:v>
      </x:c>
      <x:c r="I4" s="12" t="str">
        <x:v>Weekly</x:v>
      </x:c>
    </x:row>
    <x:row r="5">
      <x:c r="A5" s="12" t="str">
        <x:v>Expedite approval</x:v>
      </x:c>
      <x:c r="B5" s="12" t="str">
        <x:v>Every event</x:v>
      </x:c>
      <x:c r="C5" s="12" t="str">
        <x:v>Supply Chain</x:v>
      </x:c>
      <x:c r="D5" s="12" t="str">
        <x:v>Expedite log</x:v>
      </x:c>
      <x:c r="E5" s="12" t="str">
        <x:v>Approved business risk</x:v>
      </x:c>
      <x:c r="F5" s="12" t="str">
        <x:v>Approve/reject</x:v>
      </x:c>
      <x:c r="G5" s="12" t="str">
        <x:v>Director</x:v>
      </x:c>
      <x:c r="H5" s="12" t="str">
        <x:v>Active</x:v>
      </x:c>
      <x:c r="I5" s="12" t="str">
        <x:v>Monthly</x:v>
      </x:c>
    </x:row>
    <x:row r="6">
      <x:c r="A6" s="12" t="str">
        <x:v>Lead-time validation</x:v>
      </x:c>
      <x:c r="B6" s="12" t="str">
        <x:v>Monthly</x:v>
      </x:c>
      <x:c r="C6" s="12" t="str">
        <x:v>Planning</x:v>
      </x:c>
      <x:c r="D6" s="12" t="str">
        <x:v>Master-data audit</x:v>
      </x:c>
      <x:c r="E6" s="12" t="str">
        <x:v>Variance &lt;=1.5 days</x:v>
      </x:c>
      <x:c r="F6" s="12" t="str">
        <x:v>Correct parameter</x:v>
      </x:c>
      <x:c r="G6" s="12" t="str">
        <x:v>S&amp;OP</x:v>
      </x:c>
      <x:c r="H6" s="12" t="str">
        <x:v>Active</x:v>
      </x:c>
      <x:c r="I6" s="12" t="str">
        <x:v>Monthly</x:v>
      </x:c>
    </x:row>
    <x:row r="7">
      <x:c r="A7" s="12" t="str">
        <x:v>Red supplier review</x:v>
      </x:c>
      <x:c r="B7" s="12" t="str">
        <x:v>Weekly</x:v>
      </x:c>
      <x:c r="C7" s="12" t="str">
        <x:v>Supply Chain</x:v>
      </x:c>
      <x:c r="D7" s="12" t="str">
        <x:v>Recovery plan</x:v>
      </x:c>
      <x:c r="E7" s="12" t="str">
        <x:v>No missed milestone</x:v>
      </x:c>
      <x:c r="F7" s="12" t="str">
        <x:v>Executive escalation</x:v>
      </x:c>
      <x:c r="G7" s="12" t="str">
        <x:v>Sourcing</x:v>
      </x:c>
      <x:c r="H7" s="12" t="str">
        <x:v>Active</x:v>
      </x:c>
      <x:c r="I7" s="12" t="str">
        <x:v>Weekly</x:v>
      </x:c>
    </x:row>
  </x:sheetData>
  <x:pageMargins left="0.7" right="0.7" top="0.75" bottom="0.75" header="0.3" footer="0.3"/>
</x:worksheet>
</file>