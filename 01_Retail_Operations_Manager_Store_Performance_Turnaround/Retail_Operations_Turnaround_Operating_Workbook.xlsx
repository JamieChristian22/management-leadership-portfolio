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c95d1c23a847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ly_Data" sheetId="1" r:id="Rccbde03ca3fc465b"/>
    <x:sheet xmlns:r="http://schemas.openxmlformats.org/officeDocument/2006/relationships" name="Executive_Dashboard" sheetId="2" r:id="R1a692dd92eed44cb"/>
    <x:sheet xmlns:r="http://schemas.openxmlformats.org/officeDocument/2006/relationships" name="Action_Plan" sheetId="3" r:id="Rff60a12edea247da"/>
    <x:sheet xmlns:r="http://schemas.openxmlformats.org/officeDocument/2006/relationships" name="Risk_Register" sheetId="4" r:id="Rb9f58253caa4485d"/>
    <x:sheet xmlns:r="http://schemas.openxmlformats.org/officeDocument/2006/relationships" name="Stakeholder_RACI" sheetId="5" r:id="R7197d4bf6e57440e"/>
    <x:sheet xmlns:r="http://schemas.openxmlformats.org/officeDocument/2006/relationships" name="Control_Log" sheetId="6" r:id="R37b077f1b9724a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$#,##0"/>
    <x:numFmt numFmtId="201" formatCode="0.0%"/>
    <x:numFmt numFmtId="202" formatCode="$0.00"/>
    <x:numFmt numFmtId="203" formatCode="0"/>
    <x:numFmt numFmtId="204" formatCode="0.0"/>
    <x:numFmt numFmtId="205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203" fontId="0" fillId="6" borderId="0" xfId="0" applyNumberFormat="1" applyFont="1" applyFill="1" applyBorder="1"/>
    <x:xf numFmtId="0" fontId="1" fillId="6" borderId="0" xfId="0" applyNumberFormat="1" applyFont="1" applyFill="1" applyBorder="1"/>
    <x:xf numFmtId="203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203" fontId="1" fillId="6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center" wrapText="1"/>
    </x:xf>
    <x:xf numFmtId="203" fontId="1" fillId="6" borderId="0" xfId="0" applyNumberFormat="1" applyFont="1" applyFill="1" applyBorder="1" applyAlignment="1">
      <x:alignment horizont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203" fontId="1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horizontal="left" wrapText="1"/>
    </x:xf>
    <x:xf numFmtId="0" fontId="5" fillId="7" borderId="0" xfId="0" applyNumberFormat="1" applyFont="1" applyFill="1" applyBorder="1" applyAlignment="1">
      <x:alignment horizontal="left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left"/>
    </x:xf>
    <x:xf numFmtId="0" fontId="5" fillId="7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8" borderId="0" xfId="0" applyNumberFormat="1" applyFont="1" applyFill="1" applyBorder="1"/>
    <x:xf numFmtId="201" fontId="3" fillId="4" borderId="0" xfId="0" applyNumberFormat="1" applyFont="1" applyFill="1" applyBorder="1"/>
    <x:xf numFmtId="205" fontId="0" fillId="0" borderId="0" xfId="0" applyNumberFormat="1" applyFont="1" applyFill="1" applyBorder="1"/>
    <x:xf numFmtId="205" fontId="3" fillId="4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 wrapText="1"/>
    </x:xf>
    <x:xf numFmtId="0" fontId="3" fillId="8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201" fontId="3" fillId="4" borderId="0" xfId="0" applyNumberFormat="1" applyFont="1" applyFill="1" applyBorder="1" applyAlignment="1">
      <x:alignment wrapText="1"/>
    </x:xf>
    <x:xf numFmtId="205" fontId="3" fillId="4" borderId="0" xfId="0" applyNumberFormat="1" applyFont="1" applyFill="1" applyBorder="1" applyAlignment="1">
      <x:alignment wrapText="1"/>
    </x:xf>
    <x:xf numFmtId="0" fontId="1" fillId="6" xfId="0" applyNumberFormat="1" applyFont="1" applyFill="1" applyBorder="0" applyAlignment="1">
      <x:alignment horizontal="center" vertical="center" wrapText="1"/>
    </x:xf>
    <x:xf numFmtId="203" fontId="1" fillId="6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wrapText="1"/>
    </x:xf>
    <x:xf numFmtId="201" fontId="0" fillId="0" xfId="0" applyNumberFormat="1" applyFont="1" applyFill="1" applyBorder="0" applyAlignment="1">
      <x:alignment wrapText="1"/>
    </x:xf>
    <x:xf numFmtId="205" fontId="0" fillId="0" xfId="0" applyNumberFormat="1" applyFont="1" applyFill="1" applyBorder="0" applyAlignment="1">
      <x:alignment wrapText="1"/>
    </x:xf>
    <x:xf numFmtId="0" fontId="3" fillId="4" xfId="0" applyNumberFormat="1" applyFont="1" applyFill="1" applyBorder="0" applyAlignment="1">
      <x:alignment wrapText="1"/>
    </x:xf>
    <x:xf numFmtId="201" fontId="3" fillId="4" xfId="0" applyNumberFormat="1" applyFont="1" applyFill="1" applyBorder="0" applyAlignment="1">
      <x:alignment wrapText="1"/>
    </x:xf>
    <x:xf numFmtId="205" fontId="3" fillId="4" xfId="0" applyNumberFormat="1" applyFont="1" applyFill="1" applyBorder="0" applyAlignment="1">
      <x:alignment wrapText="1"/>
    </x:xf>
  </x:cellXfs>
  <x:cellStyles count="1">
    <x:cellStyle name="Normal" xfId="0"/>
  </x:cellStyles>
  <x:dxfs count="5"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6500"/>
      </x:font>
      <x:fill>
        <x:patternFill patternType="solid">
          <x:bgColor rgb="FFFFEB9C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73837b996245f4" /><Relationship Type="http://schemas.openxmlformats.org/officeDocument/2006/relationships/theme" Target="/xl/theme/theme1.xml" Id="R47e359386a9f4eed" /><Relationship Type="http://schemas.openxmlformats.org/officeDocument/2006/relationships/sharedStrings" Target="/xl/sharedStrings.xml" Id="R524b442faab2437e" /><Relationship Type="http://schemas.openxmlformats.org/officeDocument/2006/relationships/worksheet" Target="/xl/worksheets/sheet1.xml" Id="Rccbde03ca3fc465b" /><Relationship Type="http://schemas.openxmlformats.org/officeDocument/2006/relationships/worksheet" Target="/xl/worksheets/sheet2.xml" Id="R1a692dd92eed44cb" /><Relationship Type="http://schemas.openxmlformats.org/officeDocument/2006/relationships/worksheet" Target="/xl/worksheets/sheet3.xml" Id="Rff60a12edea247da" /><Relationship Type="http://schemas.openxmlformats.org/officeDocument/2006/relationships/worksheet" Target="/xl/worksheets/sheet4.xml" Id="Rb9f58253caa4485d" /><Relationship Type="http://schemas.openxmlformats.org/officeDocument/2006/relationships/worksheet" Target="/xl/worksheets/sheet5.xml" Id="R7197d4bf6e57440e" /><Relationship Type="http://schemas.openxmlformats.org/officeDocument/2006/relationships/worksheet" Target="/xl/worksheets/sheet6.xml" Id="R37b077f1b9724a9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cae20fa8567487f" /><Relationship Type="http://schemas.openxmlformats.org/officeDocument/2006/relationships/chart" Target="/xl/drawings/charts/chart2.xml" Id="R136b8def4e0343b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Labor Cost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Labor Cost %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'Weekly_Data'!$G$2:$G$13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 NPS Trend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NPS</c:v>
          </c:tx>
          <c:marker>
            <c:symbol val="none"/>
          </c:marker>
          <c:cat>
            <c:strRef>
              <c:f>'Weekly_Data'!$A$2:$A$13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'Weekly_Data'!$H$2:$H$13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27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cae20fa8567487f"/>
        </a:graphicData>
      </a:graphic>
    </xdr:graphicFrame>
    <xdr:clientData/>
  </xdr:twoCellAnchor>
  <xdr:twoCellAnchor>
    <xdr:from>
      <xdr:col>6</xdr:col>
      <xdr:colOff>0</xdr:colOff>
      <xdr:row>27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36b8def4e0343b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ccbdb5cba244aa7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46" t="str">
        <x:v>Week</x:v>
      </x:c>
      <x:c r="B1" s="46" t="str">
        <x:v>Sales</x:v>
      </x:c>
      <x:c r="C1" s="46" t="str">
        <x:v>Transactions</x:v>
      </x:c>
      <x:c r="D1" s="46" t="str">
        <x:v>Traffic</x:v>
      </x:c>
      <x:c r="E1" s="46" t="str">
        <x:v>Conversion Rate</x:v>
      </x:c>
      <x:c r="F1" s="46" t="str">
        <x:v>Avg Transaction Value</x:v>
      </x:c>
      <x:c r="G1" s="46" t="str">
        <x:v>Labor Cost %</x:v>
      </x:c>
      <x:c r="H1" s="46" t="str">
        <x:v>NPS</x:v>
      </x:c>
      <x:c r="I1" s="46" t="str">
        <x:v>Avg Wait Min</x:v>
      </x:c>
      <x:c r="J1" s="46" t="str">
        <x:v>Shrink %</x:v>
      </x:c>
      <x:c r="K1" s="46" t="str">
        <x:v>Schedule Adherence %</x:v>
      </x:c>
      <x:c r="L1" s="46" t="str">
        <x:v>Task Completion %</x:v>
      </x:c>
    </x:row>
    <x:row r="2">
      <x:c r="A2" s="7" t="str">
        <x:v>W1</x:v>
      </x:c>
      <x:c r="B2" s="10" t="n">
        <x:v>178500</x:v>
      </x:c>
      <x:c r="C2" s="7" t="n">
        <x:v>3310</x:v>
      </x:c>
      <x:c r="D2" s="7" t="n">
        <x:v>6900</x:v>
      </x:c>
      <x:c r="E2" s="12" t="n">
        <x:f>C2/D2</x:f>
        <x:v>0.4797101449275362</x:v>
      </x:c>
      <x:c r="F2" s="14" t="n">
        <x:f>B2/C2</x:f>
        <x:v>53.92749244712991</x:v>
      </x:c>
      <x:c r="G2" s="12" t="n">
        <x:v>0.18899999999999997</x:v>
      </x:c>
      <x:c r="H2" s="7" t="n">
        <x:v>52</x:v>
      </x:c>
      <x:c r="I2" s="7" t="n">
        <x:v>8.4</x:v>
      </x:c>
      <x:c r="J2" s="12" t="n">
        <x:v>0.038</x:v>
      </x:c>
      <x:c r="K2" s="12" t="n">
        <x:v>0.74</x:v>
      </x:c>
      <x:c r="L2" s="12" t="n">
        <x:v>0.71</x:v>
      </x:c>
    </x:row>
    <x:row r="3">
      <x:c r="A3" s="7" t="str">
        <x:v>W2</x:v>
      </x:c>
      <x:c r="B3" s="10" t="n">
        <x:v>181200</x:v>
      </x:c>
      <x:c r="C3" s="7" t="n">
        <x:v>3345</x:v>
      </x:c>
      <x:c r="D3" s="7" t="n">
        <x:v>6950</x:v>
      </x:c>
      <x:c r="E3" s="12" t="n">
        <x:f>C3/D3</x:f>
        <x:v>0.481294964028777</x:v>
      </x:c>
      <x:c r="F3" s="14" t="n">
        <x:f>B3/C3</x:f>
        <x:v>54.17040358744394</x:v>
      </x:c>
      <x:c r="G3" s="12" t="n">
        <x:v>0.187</x:v>
      </x:c>
      <x:c r="H3" s="7" t="n">
        <x:v>53</x:v>
      </x:c>
      <x:c r="I3" s="7" t="n">
        <x:v>8.1</x:v>
      </x:c>
      <x:c r="J3" s="12" t="n">
        <x:v>0.038</x:v>
      </x:c>
      <x:c r="K3" s="12" t="n">
        <x:v>0.76</x:v>
      </x:c>
      <x:c r="L3" s="12" t="n">
        <x:v>0.73</x:v>
      </x:c>
    </x:row>
    <x:row r="4">
      <x:c r="A4" s="7" t="str">
        <x:v>W3</x:v>
      </x:c>
      <x:c r="B4" s="10" t="n">
        <x:v>176800</x:v>
      </x:c>
      <x:c r="C4" s="7" t="n">
        <x:v>3290</x:v>
      </x:c>
      <x:c r="D4" s="7" t="n">
        <x:v>6820</x:v>
      </x:c>
      <x:c r="E4" s="12" t="n">
        <x:f>C4/D4</x:f>
        <x:v>0.48240469208211145</x:v>
      </x:c>
      <x:c r="F4" s="14" t="n">
        <x:f>B4/C4</x:f>
        <x:v>53.73860182370821</x:v>
      </x:c>
      <x:c r="G4" s="12" t="n">
        <x:v>0.184</x:v>
      </x:c>
      <x:c r="H4" s="7" t="n">
        <x:v>54</x:v>
      </x:c>
      <x:c r="I4" s="7" t="n">
        <x:v>7.8</x:v>
      </x:c>
      <x:c r="J4" s="12" t="n">
        <x:v>0.037000000000000005</x:v>
      </x:c>
      <x:c r="K4" s="12" t="n">
        <x:v>0.78</x:v>
      </x:c>
      <x:c r="L4" s="12" t="n">
        <x:v>0.75</x:v>
      </x:c>
    </x:row>
    <x:row r="5">
      <x:c r="A5" s="7" t="str">
        <x:v>W4</x:v>
      </x:c>
      <x:c r="B5" s="10" t="n">
        <x:v>184900</x:v>
      </x:c>
      <x:c r="C5" s="7" t="n">
        <x:v>3390</x:v>
      </x:c>
      <x:c r="D5" s="7" t="n">
        <x:v>7000</x:v>
      </x:c>
      <x:c r="E5" s="12" t="n">
        <x:f>C5/D5</x:f>
        <x:v>0.48428571428571426</x:v>
      </x:c>
      <x:c r="F5" s="14" t="n">
        <x:f>B5/C5</x:f>
        <x:v>54.54277286135693</x:v>
      </x:c>
      <x:c r="G5" s="12" t="n">
        <x:v>0.182</x:v>
      </x:c>
      <x:c r="H5" s="7" t="n">
        <x:v>55</x:v>
      </x:c>
      <x:c r="I5" s="7" t="n">
        <x:v>7.5</x:v>
      </x:c>
      <x:c r="J5" s="12" t="n">
        <x:v>0.036000000000000004</x:v>
      </x:c>
      <x:c r="K5" s="12" t="n">
        <x:v>0.8</x:v>
      </x:c>
      <x:c r="L5" s="12" t="n">
        <x:v>0.78</x:v>
      </x:c>
    </x:row>
    <x:row r="6">
      <x:c r="A6" s="7" t="str">
        <x:v>W5</x:v>
      </x:c>
      <x:c r="B6" s="10" t="n">
        <x:v>189500</x:v>
      </x:c>
      <x:c r="C6" s="7" t="n">
        <x:v>3450</x:v>
      </x:c>
      <x:c r="D6" s="7" t="n">
        <x:v>7040</x:v>
      </x:c>
      <x:c r="E6" s="12" t="n">
        <x:f>C6/D6</x:f>
        <x:v>0.4900568181818182</x:v>
      </x:c>
      <x:c r="F6" s="14" t="n">
        <x:f>B6/C6</x:f>
        <x:v>54.927536231884055</x:v>
      </x:c>
      <x:c r="G6" s="12" t="n">
        <x:v>0.179</x:v>
      </x:c>
      <x:c r="H6" s="7" t="n">
        <x:v>57</x:v>
      </x:c>
      <x:c r="I6" s="7" t="n">
        <x:v>7.1</x:v>
      </x:c>
      <x:c r="J6" s="12" t="n">
        <x:v>0.035</x:v>
      </x:c>
      <x:c r="K6" s="12" t="n">
        <x:v>0.82</x:v>
      </x:c>
      <x:c r="L6" s="12" t="n">
        <x:v>0.8</x:v>
      </x:c>
    </x:row>
    <x:row r="7">
      <x:c r="A7" s="7" t="str">
        <x:v>W6</x:v>
      </x:c>
      <x:c r="B7" s="10" t="n">
        <x:v>193200</x:v>
      </x:c>
      <x:c r="C7" s="7" t="n">
        <x:v>3505</x:v>
      </x:c>
      <x:c r="D7" s="7" t="n">
        <x:v>7080</x:v>
      </x:c>
      <x:c r="E7" s="12" t="n">
        <x:f>C7/D7</x:f>
        <x:v>0.4950564971751412</x:v>
      </x:c>
      <x:c r="F7" s="14" t="n">
        <x:f>B7/C7</x:f>
        <x:v>55.121255349500714</x:v>
      </x:c>
      <x:c r="G7" s="12" t="n">
        <x:v>0.177</x:v>
      </x:c>
      <x:c r="H7" s="7" t="n">
        <x:v>59</x:v>
      </x:c>
      <x:c r="I7" s="7" t="n">
        <x:v>6.8</x:v>
      </x:c>
      <x:c r="J7" s="12" t="n">
        <x:v>0.034</x:v>
      </x:c>
      <x:c r="K7" s="12" t="n">
        <x:v>0.84</x:v>
      </x:c>
      <x:c r="L7" s="12" t="n">
        <x:v>0.83</x:v>
      </x:c>
    </x:row>
    <x:row r="8">
      <x:c r="A8" s="7" t="str">
        <x:v>W7</x:v>
      </x:c>
      <x:c r="B8" s="10" t="n">
        <x:v>197800</x:v>
      </x:c>
      <x:c r="C8" s="7" t="n">
        <x:v>3560</x:v>
      </x:c>
      <x:c r="D8" s="7" t="n">
        <x:v>7120</x:v>
      </x:c>
      <x:c r="E8" s="12" t="n">
        <x:f>C8/D8</x:f>
        <x:v>0.5</x:v>
      </x:c>
      <x:c r="F8" s="14" t="n">
        <x:f>B8/C8</x:f>
        <x:v>55.561797752808985</x:v>
      </x:c>
      <x:c r="G8" s="12" t="n">
        <x:v>0.175</x:v>
      </x:c>
      <x:c r="H8" s="7" t="n">
        <x:v>60</x:v>
      </x:c>
      <x:c r="I8" s="7" t="n">
        <x:v>6.5</x:v>
      </x:c>
      <x:c r="J8" s="12" t="n">
        <x:v>0.032</x:v>
      </x:c>
      <x:c r="K8" s="12" t="n">
        <x:v>0.86</x:v>
      </x:c>
      <x:c r="L8" s="12" t="n">
        <x:v>0.85</x:v>
      </x:c>
    </x:row>
    <x:row r="9">
      <x:c r="A9" s="7" t="str">
        <x:v>W8</x:v>
      </x:c>
      <x:c r="B9" s="10" t="n">
        <x:v>201400</x:v>
      </x:c>
      <x:c r="C9" s="7" t="n">
        <x:v>3620</x:v>
      </x:c>
      <x:c r="D9" s="7" t="n">
        <x:v>7180</x:v>
      </x:c>
      <x:c r="E9" s="12" t="n">
        <x:f>C9/D9</x:f>
        <x:v>0.5041782729805014</x:v>
      </x:c>
      <x:c r="F9" s="14" t="n">
        <x:f>B9/C9</x:f>
        <x:v>55.6353591160221</x:v>
      </x:c>
      <x:c r="G9" s="12" t="n">
        <x:v>0.17300000000000001</x:v>
      </x:c>
      <x:c r="H9" s="7" t="n">
        <x:v>62</x:v>
      </x:c>
      <x:c r="I9" s="7" t="n">
        <x:v>6.2</x:v>
      </x:c>
      <x:c r="J9" s="12" t="n">
        <x:v>0.031</x:v>
      </x:c>
      <x:c r="K9" s="12" t="n">
        <x:v>0.87</x:v>
      </x:c>
      <x:c r="L9" s="12" t="n">
        <x:v>0.87</x:v>
      </x:c>
    </x:row>
    <x:row r="10">
      <x:c r="A10" s="7" t="str">
        <x:v>W9</x:v>
      </x:c>
      <x:c r="B10" s="10" t="n">
        <x:v>205900</x:v>
      </x:c>
      <x:c r="C10" s="7" t="n">
        <x:v>3685</x:v>
      </x:c>
      <x:c r="D10" s="7" t="n">
        <x:v>7220</x:v>
      </x:c>
      <x:c r="E10" s="12" t="n">
        <x:f>C10/D10</x:f>
        <x:v>0.510387811634349</x:v>
      </x:c>
      <x:c r="F10" s="14" t="n">
        <x:f>B10/C10</x:f>
        <x:v>55.87516960651289</x:v>
      </x:c>
      <x:c r="G10" s="12" t="n">
        <x:v>0.171</x:v>
      </x:c>
      <x:c r="H10" s="7" t="n">
        <x:v>63</x:v>
      </x:c>
      <x:c r="I10" s="7" t="n">
        <x:v>5.9</x:v>
      </x:c>
      <x:c r="J10" s="12" t="n">
        <x:v>0.03</x:v>
      </x:c>
      <x:c r="K10" s="12" t="n">
        <x:v>0.88</x:v>
      </x:c>
      <x:c r="L10" s="12" t="n">
        <x:v>0.89</x:v>
      </x:c>
    </x:row>
    <x:row r="11">
      <x:c r="A11" s="7" t="str">
        <x:v>W10</x:v>
      </x:c>
      <x:c r="B11" s="10" t="n">
        <x:v>209300</x:v>
      </x:c>
      <x:c r="C11" s="7" t="n">
        <x:v>3740</x:v>
      </x:c>
      <x:c r="D11" s="7" t="n">
        <x:v>7280</x:v>
      </x:c>
      <x:c r="E11" s="12" t="n">
        <x:f>C11/D11</x:f>
        <x:v>0.5137362637362637</x:v>
      </x:c>
      <x:c r="F11" s="14" t="n">
        <x:f>B11/C11</x:f>
        <x:v>55.962566844919785</x:v>
      </x:c>
      <x:c r="G11" s="12" t="n">
        <x:v>0.16899999999999998</x:v>
      </x:c>
      <x:c r="H11" s="7" t="n">
        <x:v>64</x:v>
      </x:c>
      <x:c r="I11" s="7" t="n">
        <x:v>5.7</x:v>
      </x:c>
      <x:c r="J11" s="12" t="n">
        <x:v>0.027999999999999997</x:v>
      </x:c>
      <x:c r="K11" s="12" t="n">
        <x:v>0.89</x:v>
      </x:c>
      <x:c r="L11" s="12" t="n">
        <x:v>0.91</x:v>
      </x:c>
    </x:row>
    <x:row r="12">
      <x:c r="A12" s="7" t="str">
        <x:v>W11</x:v>
      </x:c>
      <x:c r="B12" s="10" t="n">
        <x:v>213800</x:v>
      </x:c>
      <x:c r="C12" s="7" t="n">
        <x:v>3800</x:v>
      </x:c>
      <x:c r="D12" s="7" t="n">
        <x:v>7330</x:v>
      </x:c>
      <x:c r="E12" s="12" t="n">
        <x:f>C12/D12</x:f>
        <x:v>0.5184174624829468</x:v>
      </x:c>
      <x:c r="F12" s="14" t="n">
        <x:f>B12/C12</x:f>
        <x:v>56.26315789473684</x:v>
      </x:c>
      <x:c r="G12" s="12" t="n">
        <x:v>0.168</x:v>
      </x:c>
      <x:c r="H12" s="7" t="n">
        <x:v>66</x:v>
      </x:c>
      <x:c r="I12" s="7" t="n">
        <x:v>5.5</x:v>
      </x:c>
      <x:c r="J12" s="12" t="n">
        <x:v>0.026000000000000002</x:v>
      </x:c>
      <x:c r="K12" s="12" t="n">
        <x:v>0.9</x:v>
      </x:c>
      <x:c r="L12" s="12" t="n">
        <x:v>0.93</x:v>
      </x:c>
    </x:row>
    <x:row r="13">
      <x:c r="A13" s="7" t="str">
        <x:v>W12</x:v>
      </x:c>
      <x:c r="B13" s="10" t="n">
        <x:v>218600</x:v>
      </x:c>
      <x:c r="C13" s="7" t="n">
        <x:v>3875</x:v>
      </x:c>
      <x:c r="D13" s="7" t="n">
        <x:v>7390</x:v>
      </x:c>
      <x:c r="E13" s="12" t="n">
        <x:f>C13/D13</x:f>
        <x:v>0.5243572395128552</x:v>
      </x:c>
      <x:c r="F13" s="14" t="n">
        <x:f>B13/C13</x:f>
        <x:v>56.41290322580645</x:v>
      </x:c>
      <x:c r="G13" s="12" t="n">
        <x:v>0.16699999999999998</x:v>
      </x:c>
      <x:c r="H13" s="7" t="n">
        <x:v>67</x:v>
      </x:c>
      <x:c r="I13" s="7" t="n">
        <x:v>5.3</x:v>
      </x:c>
      <x:c r="J13" s="12" t="n">
        <x:v>0.025</x:v>
      </x:c>
      <x:c r="K13" s="12" t="n">
        <x:v>0.91</x:v>
      </x:c>
      <x:c r="L13" s="12" t="n">
        <x:v>0.95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3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2" hidden="0" customWidth="1"/>
    <x:col min="11" max="11" width="16" hidden="0" customWidth="1"/>
    <x:col min="12" max="12" width="28" hidden="0" customWidth="1"/>
    <x:col min="13" max="13" width="14" hidden="0" customWidth="1"/>
    <x:col min="14" max="14" width="14" hidden="0" customWidth="1"/>
  </x:cols>
  <x:sheetData>
    <x:row r="1" ht="28" customHeight="1">
      <x:c r="A1" s="63" t="str">
        <x:v>STORE PERFORMANCE TURNAROUND | EXECUTIVE OPERATING REVIEW</x:v>
      </x:c>
      <x:c r="B1" s="63"/>
      <x:c r="C1" s="63"/>
      <x:c r="D1" s="63"/>
      <x:c r="E1" s="63"/>
      <x:c r="F1" s="63"/>
      <x:c r="G1" s="63"/>
      <x:c r="H1" s="63"/>
      <x:c r="I1" s="63"/>
      <x:c r="J1" s="63"/>
      <x:c r="K1" s="63"/>
      <x:c r="L1" s="63"/>
    </x:row>
    <x:row r="2" ht="28" customHeight="1">
      <x:c r="A2" s="63"/>
      <x:c r="B2" s="63"/>
      <x:c r="C2" s="63"/>
      <x:c r="D2" s="63"/>
      <x:c r="E2" s="63"/>
      <x:c r="F2" s="63"/>
      <x:c r="G2" s="63"/>
      <x:c r="H2" s="63"/>
      <x:c r="I2" s="63"/>
      <x:c r="J2" s="63"/>
      <x:c r="K2" s="63"/>
      <x:c r="L2" s="63"/>
    </x:row>
    <x:row r="3">
      <x:c r="A3" s="64" t="str">
        <x:v>MODELED 12-WEEK BUSINESS TURNAROUND</x:v>
      </x:c>
      <x:c r="B3" s="64" t="str"/>
      <x:c r="C3" s="64" t="str"/>
      <x:c r="D3" s="64" t="str"/>
      <x:c r="E3" s="64" t="str">
        <x:v>REPORTING PERIOD</x:v>
      </x:c>
      <x:c r="F3" s="64" t="str">
        <x:v>Week 12</x:v>
      </x:c>
      <x:c r="G3" s="64" t="str"/>
      <x:c r="H3" s="64" t="str">
        <x:v>OVERALL HEALTH</x:v>
      </x:c>
      <x:c r="I3" s="64" t="str"/>
      <x:c r="J3" s="64" t="str">
        <x:v>ON TRACK</x:v>
      </x:c>
      <x:c r="K3" s="64" t="str"/>
      <x:c r="L3" s="64" t="str"/>
    </x:row>
    <x:row r="4">
      <x:c r="A4" s="7"/>
      <x:c r="B4" s="12"/>
      <x:c r="C4" s="12"/>
      <x:c r="D4" s="12"/>
      <x:c r="E4" s="7"/>
      <x:c r="F4" s="7"/>
      <x:c r="G4" s="7"/>
      <x:c r="H4" s="7"/>
      <x:c r="I4" s="7"/>
      <x:c r="J4" s="7"/>
      <x:c r="K4" s="7"/>
      <x:c r="L4" s="7"/>
    </x:row>
    <x:row r="5">
      <x:c r="A5" s="69" t="str">
        <x:v>KPI</x:v>
      </x:c>
      <x:c r="B5" s="70" t="str">
        <x:v>Baseline</x:v>
      </x:c>
      <x:c r="C5" s="70" t="str">
        <x:v>Target</x:v>
      </x:c>
      <x:c r="D5" s="70" t="str">
        <x:v>Current</x:v>
      </x:c>
      <x:c r="E5" s="69" t="str">
        <x:v>Variance to Target</x:v>
      </x:c>
      <x:c r="F5" s="69" t="str">
        <x:v>Attainment</x:v>
      </x:c>
      <x:c r="G5" s="69" t="str">
        <x:v>Trend vs W1</x:v>
      </x:c>
      <x:c r="H5" s="69" t="str">
        <x:v>Health</x:v>
      </x:c>
      <x:c r="I5" s="7"/>
      <x:c r="J5" s="7"/>
      <x:c r="K5" s="7"/>
      <x:c r="L5" s="7"/>
    </x:row>
    <x:row r="6">
      <x:c r="A6" s="71" t="str">
        <x:v>Labor Cost %</x:v>
      </x:c>
      <x:c r="B6" s="72" t="n">
        <x:v>0.189</x:v>
      </x:c>
      <x:c r="C6" s="72" t="n">
        <x:v>0.168</x:v>
      </x:c>
      <x:c r="D6" s="72" t="n">
        <x:f>Weekly_Data!G13</x:f>
        <x:v>0.16699999999999998</x:v>
      </x:c>
      <x:c r="E6" s="72" t="n">
        <x:f>C6-D6</x:f>
        <x:v>0.0010000000000000286</x:v>
      </x:c>
      <x:c r="F6" s="73" t="n">
        <x:f>IF(D6&lt;=C6,1,C6/D6)</x:f>
        <x:v>1</x:v>
      </x:c>
      <x:c r="G6" s="72" t="n">
        <x:f>B6-D6</x:f>
        <x:v>0.02200000000000002</x:v>
      </x:c>
      <x:c r="H6" s="71" t="str">
        <x:f>IF(D6&lt;=C6,"ON TRACK",IF(D6&lt;=C6*1.05,"AT RISK","OFF TRACK"))</x:f>
        <x:v>ON TRACK</x:v>
      </x:c>
      <x:c r="I6" s="7"/>
      <x:c r="J6" s="7"/>
      <x:c r="K6" s="7"/>
      <x:c r="L6" s="7"/>
    </x:row>
    <x:row r="7">
      <x:c r="A7" s="71" t="str">
        <x:v>NPS</x:v>
      </x:c>
      <x:c r="B7" s="72" t="n">
        <x:v>52</x:v>
      </x:c>
      <x:c r="C7" s="72" t="n">
        <x:v>66</x:v>
      </x:c>
      <x:c r="D7" s="72" t="n">
        <x:f>Weekly_Data!H13</x:f>
        <x:v>67</x:v>
      </x:c>
      <x:c r="E7" s="71" t="n">
        <x:f>D7-C7</x:f>
        <x:v>1</x:v>
      </x:c>
      <x:c r="F7" s="73" t="n">
        <x:f>MIN(D7/C7,1)</x:f>
        <x:v>1</x:v>
      </x:c>
      <x:c r="G7" s="71" t="n">
        <x:f>D7-B7</x:f>
        <x:v>15</x:v>
      </x:c>
      <x:c r="H7" s="71" t="str">
        <x:f>IF(D7&gt;=C7,"ON TRACK",IF(D7&gt;=C7*0.95,"AT RISK","OFF TRACK"))</x:f>
        <x:v>ON TRACK</x:v>
      </x:c>
      <x:c r="I7" s="7"/>
      <x:c r="J7" s="7"/>
      <x:c r="K7" s="7"/>
      <x:c r="L7" s="7"/>
    </x:row>
    <x:row r="8">
      <x:c r="A8" s="71" t="str">
        <x:v>Avg Wait Min</x:v>
      </x:c>
      <x:c r="B8" s="72" t="n">
        <x:v>8.4</x:v>
      </x:c>
      <x:c r="C8" s="72" t="n">
        <x:v>5.5</x:v>
      </x:c>
      <x:c r="D8" s="72" t="n">
        <x:f>Weekly_Data!I13</x:f>
        <x:v>5.3</x:v>
      </x:c>
      <x:c r="E8" s="71" t="n">
        <x:f>C8-D8</x:f>
        <x:v>0.20000000000000018</x:v>
      </x:c>
      <x:c r="F8" s="73" t="n">
        <x:f>IF(D8&lt;=C8,1,C8/D8)</x:f>
        <x:v>1</x:v>
      </x:c>
      <x:c r="G8" s="71" t="n">
        <x:f>B8-D8</x:f>
        <x:v>3.1000000000000005</x:v>
      </x:c>
      <x:c r="H8" s="71" t="str">
        <x:f>IF(D8&lt;=C8,"ON TRACK",IF(D8&lt;=C8*1.05,"AT RISK","OFF TRACK"))</x:f>
        <x:v>ON TRACK</x:v>
      </x:c>
      <x:c r="I8" s="7"/>
      <x:c r="J8" s="7"/>
      <x:c r="K8" s="7"/>
      <x:c r="L8" s="7"/>
    </x:row>
    <x:row r="9">
      <x:c r="A9" s="71" t="str">
        <x:v>Shrink %</x:v>
      </x:c>
      <x:c r="B9" s="72" t="n">
        <x:v>0.038</x:v>
      </x:c>
      <x:c r="C9" s="72" t="n">
        <x:v>0.026</x:v>
      </x:c>
      <x:c r="D9" s="72" t="n">
        <x:f>Weekly_Data!J13</x:f>
        <x:v>0.025</x:v>
      </x:c>
      <x:c r="E9" s="72" t="n">
        <x:f>C9-D9</x:f>
        <x:v>0.0009999999999999974</x:v>
      </x:c>
      <x:c r="F9" s="73" t="n">
        <x:f>IF(D9&lt;=C9,1,C9/D9)</x:f>
        <x:v>1</x:v>
      </x:c>
      <x:c r="G9" s="72" t="n">
        <x:f>B9-D9</x:f>
        <x:v>0.012999999999999998</x:v>
      </x:c>
      <x:c r="H9" s="71" t="str">
        <x:f>IF(D9&lt;=C9,"ON TRACK",IF(D9&lt;=C9*1.05,"AT RISK","OFF TRACK"))</x:f>
        <x:v>ON TRACK</x:v>
      </x:c>
      <x:c r="I9" s="7"/>
      <x:c r="J9" s="7"/>
      <x:c r="K9" s="7"/>
      <x:c r="L9" s="7"/>
    </x:row>
    <x:row r="10">
      <x:c r="A10" s="71" t="str">
        <x:v>Schedule Adherence %</x:v>
      </x:c>
      <x:c r="B10" s="72" t="n">
        <x:v>0.74</x:v>
      </x:c>
      <x:c r="C10" s="72" t="n">
        <x:v>0.9</x:v>
      </x:c>
      <x:c r="D10" s="72" t="n">
        <x:f>Weekly_Data!K13</x:f>
        <x:v>0.91</x:v>
      </x:c>
      <x:c r="E10" s="72" t="n">
        <x:f>D10-C10</x:f>
        <x:v>0.010000000000000009</x:v>
      </x:c>
      <x:c r="F10" s="73" t="n">
        <x:f>MIN(D10/C10,1)</x:f>
        <x:v>1</x:v>
      </x:c>
      <x:c r="G10" s="72" t="n">
        <x:f>D10-B10</x:f>
        <x:v>0.17000000000000004</x:v>
      </x:c>
      <x:c r="H10" s="71" t="str">
        <x:f>IF(D10&gt;=C10,"ON TRACK",IF(D10&gt;=C10*0.95,"AT RISK","OFF TRACK"))</x:f>
        <x:v>ON TRACK</x:v>
      </x:c>
      <x:c r="I10" s="7"/>
      <x:c r="J10" s="7"/>
      <x:c r="K10" s="7"/>
      <x:c r="L10" s="7"/>
    </x:row>
    <x:row r="11">
      <x:c r="A11" s="74" t="str">
        <x:v>Task Completion %</x:v>
      </x:c>
      <x:c r="B11" s="75" t="n">
        <x:v>0.71</x:v>
      </x:c>
      <x:c r="C11" s="75" t="n">
        <x:v>0.93</x:v>
      </x:c>
      <x:c r="D11" s="75" t="n">
        <x:f>Weekly_Data!L13</x:f>
        <x:v>0.95</x:v>
      </x:c>
      <x:c r="E11" s="75" t="n">
        <x:f>D11-C11</x:f>
        <x:v>0.019999999999999907</x:v>
      </x:c>
      <x:c r="F11" s="76" t="n">
        <x:f>MIN(D11/C11,1)</x:f>
        <x:v>1</x:v>
      </x:c>
      <x:c r="G11" s="75" t="n">
        <x:f>D11-B11</x:f>
        <x:v>0.24</x:v>
      </x:c>
      <x:c r="H11" s="74" t="str">
        <x:f>IF(D11&gt;=C11,"ON TRACK",IF(D11&gt;=C11*0.95,"AT RISK","OFF TRACK"))</x:f>
        <x:v>ON TRACK</x:v>
      </x:c>
      <x:c r="I11" s="7"/>
      <x:c r="J11" s="7"/>
      <x:c r="K11" s="7"/>
      <x:c r="L11" s="7"/>
    </x:row>
    <x:row r="12">
      <x:c r="A12" s="7"/>
      <x:c r="B12" s="7"/>
      <x:c r="C12" s="7"/>
      <x:c r="D12" s="7"/>
      <x:c r="E12" s="7"/>
      <x:c r="F12" s="7"/>
      <x:c r="G12" s="7"/>
      <x:c r="H12" s="7"/>
      <x:c r="I12" s="7"/>
      <x:c r="J12" s="7"/>
      <x:c r="K12" s="7"/>
      <x:c r="L12" s="7"/>
    </x:row>
    <x:row r="13">
      <x:c r="A13" s="7"/>
      <x:c r="B13" s="7"/>
      <x:c r="C13" s="7"/>
      <x:c r="D13" s="7"/>
      <x:c r="E13" s="7"/>
      <x:c r="F13" s="7"/>
      <x:c r="G13" s="7"/>
      <x:c r="H13" s="7"/>
      <x:c r="I13" s="7"/>
      <x:c r="J13" s="7"/>
      <x:c r="K13" s="7"/>
      <x:c r="L13" s="7"/>
    </x:row>
    <x:row r="14">
      <x:c r="A14" s="51" t="str">
        <x:v>EXECUTIVE COMMENTARY</x:v>
      </x:c>
      <x:c r="B14" s="51"/>
      <x:c r="C14" s="51"/>
      <x:c r="D14" s="51"/>
      <x:c r="E14" s="51"/>
      <x:c r="F14" s="51"/>
      <x:c r="G14" s="7"/>
      <x:c r="H14" s="51" t="str">
        <x:v>TOP MANAGEMENT PRIORITIES</x:v>
      </x:c>
      <x:c r="I14" s="51"/>
      <x:c r="J14" s="51"/>
      <x:c r="K14" s="51"/>
      <x:c r="L14" s="51"/>
    </x:row>
    <x:row r="15" ht="30" customHeight="1">
      <x:c r="A15" s="57" t="str">
        <x:v>WHAT HAPPENED: All six primary operating KPIs reached or exceeded modeled targets by Week 12.
WHY: Traffic-based labor deployment, queue triggers, tighter inventory controls, and weekly accountability routines improved execution discipline.
WHAT WE ARE DOING: Sustain the operating cadence, audit control adherence, and prevent backsliding through owner-level scorecards.
DECISION NEEDED: Approve transition from turnaround mode to sustainment governance with monthly executive review.</x:v>
      </x:c>
      <x:c r="B15" s="57"/>
      <x:c r="C15" s="57"/>
      <x:c r="D15" s="57"/>
      <x:c r="E15" s="57"/>
      <x:c r="F15" s="57"/>
      <x:c r="G15" s="7"/>
      <x:c r="H15" s="46" t="str">
        <x:v>Priority</x:v>
      </x:c>
      <x:c r="I15" s="46" t="str">
        <x:v>Owner</x:v>
      </x:c>
      <x:c r="J15" s="46" t="str">
        <x:v>Due</x:v>
      </x:c>
      <x:c r="K15" s="46" t="str">
        <x:v>Status</x:v>
      </x:c>
      <x:c r="L15" s="46" t="str">
        <x:v>Management Response</x:v>
      </x:c>
    </x:row>
    <x:row r="16" ht="30" customHeight="1">
      <x:c r="A16" s="57"/>
      <x:c r="B16" s="57"/>
      <x:c r="C16" s="57"/>
      <x:c r="D16" s="57"/>
      <x:c r="E16" s="57"/>
      <x:c r="F16" s="57"/>
      <x:c r="G16" s="7"/>
      <x:c r="H16" s="7" t="str">
        <x:v>Lock labor gains</x:v>
      </x:c>
      <x:c r="I16" s="7" t="str">
        <x:v>Operations Lead</x:v>
      </x:c>
      <x:c r="J16" s="7" t="str">
        <x:v>W13</x:v>
      </x:c>
      <x:c r="K16" s="7" t="str">
        <x:v>In Progress</x:v>
      </x:c>
      <x:c r="L16" s="7" t="str">
        <x:v>Maintain traffic-based scheduling guardrails</x:v>
      </x:c>
    </x:row>
    <x:row r="17" ht="30" customHeight="1">
      <x:c r="A17" s="57"/>
      <x:c r="B17" s="57"/>
      <x:c r="C17" s="57"/>
      <x:c r="D17" s="57"/>
      <x:c r="E17" s="57"/>
      <x:c r="F17" s="57"/>
      <x:c r="G17" s="7"/>
      <x:c r="H17" s="7" t="str">
        <x:v>Protect CX gains</x:v>
      </x:c>
      <x:c r="I17" s="7" t="str">
        <x:v>CX Lead</x:v>
      </x:c>
      <x:c r="J17" s="7" t="str">
        <x:v>W13</x:v>
      </x:c>
      <x:c r="K17" s="7" t="str">
        <x:v>In Progress</x:v>
      </x:c>
      <x:c r="L17" s="7" t="str">
        <x:v>Continue queue trigger and recovery protocol</x:v>
      </x:c>
    </x:row>
    <x:row r="18" ht="30" customHeight="1">
      <x:c r="A18" s="57"/>
      <x:c r="B18" s="57"/>
      <x:c r="C18" s="57"/>
      <x:c r="D18" s="57"/>
      <x:c r="E18" s="57"/>
      <x:c r="F18" s="57"/>
      <x:c r="G18" s="7"/>
      <x:c r="H18" s="7" t="str">
        <x:v>Sustain shrink controls</x:v>
      </x:c>
      <x:c r="I18" s="7" t="str">
        <x:v>Inventory Lead</x:v>
      </x:c>
      <x:c r="J18" s="7" t="str">
        <x:v>W14</x:v>
      </x:c>
      <x:c r="K18" s="7" t="str">
        <x:v>In Progress</x:v>
      </x:c>
      <x:c r="L18" s="7" t="str">
        <x:v>Audit high-risk categories and exceptions</x:v>
      </x:c>
    </x:row>
    <x:row r="19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</x:row>
    <x:row r="20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</x:row>
    <x:row r="21">
      <x:c r="A21" s="51" t="str">
        <x:v>TOP RISKS / EARLY-WARNING SIGNALS</x:v>
      </x:c>
      <x:c r="B21" s="51"/>
      <x:c r="C21" s="51"/>
      <x:c r="D21" s="51"/>
      <x:c r="E21" s="51"/>
      <x:c r="F21" s="51"/>
      <x:c r="G21" s="7"/>
      <x:c r="H21" s="51" t="str">
        <x:v>NEXT 30-DAY CONTROL PLAN</x:v>
      </x:c>
      <x:c r="I21" s="51"/>
      <x:c r="J21" s="51"/>
      <x:c r="K21" s="51"/>
      <x:c r="L21" s="51"/>
    </x:row>
    <x:row r="22">
      <x:c r="A22" s="46" t="str">
        <x:v>Risk / Signal</x:v>
      </x:c>
      <x:c r="B22" s="46" t="str">
        <x:v>Threshold</x:v>
      </x:c>
      <x:c r="C22" s="46" t="str">
        <x:v>Owner</x:v>
      </x:c>
      <x:c r="D22" s="46" t="str">
        <x:v>Response</x:v>
      </x:c>
      <x:c r="E22" s="46" t="str">
        <x:v>Escalation</x:v>
      </x:c>
      <x:c r="F22" s="46" t="str">
        <x:v>Status</x:v>
      </x:c>
      <x:c r="G22" s="7"/>
      <x:c r="H22" s="46" t="str">
        <x:v>Control</x:v>
      </x:c>
      <x:c r="I22" s="46" t="str">
        <x:v>Cadence</x:v>
      </x:c>
      <x:c r="J22" s="46" t="str">
        <x:v>Evidence</x:v>
      </x:c>
      <x:c r="K22" s="46" t="str">
        <x:v>Owner</x:v>
      </x:c>
      <x:c r="L22" s="46" t="str">
        <x:v>Success Test</x:v>
      </x:c>
    </x:row>
    <x:row r="23">
      <x:c r="A23" s="7" t="str">
        <x:v>Labor cost rebound</x:v>
      </x:c>
      <x:c r="B23" s="7" t="str">
        <x:v>&gt; 17.5% for 2 weeks</x:v>
      </x:c>
      <x:c r="C23" s="7" t="str">
        <x:v>Operations Lead</x:v>
      </x:c>
      <x:c r="D23" s="7" t="str">
        <x:v>Rebalance schedules</x:v>
      </x:c>
      <x:c r="E23" s="7" t="str">
        <x:v>Regional Ops</x:v>
      </x:c>
      <x:c r="F23" s="7" t="str">
        <x:v>Controlled</x:v>
      </x:c>
      <x:c r="G23" s="7"/>
      <x:c r="H23" s="7" t="str">
        <x:v>Labor plan review</x:v>
      </x:c>
      <x:c r="I23" s="7" t="str">
        <x:v>Weekly</x:v>
      </x:c>
      <x:c r="J23" s="7" t="str">
        <x:v>Schedule vs traffic</x:v>
      </x:c>
      <x:c r="K23" s="7" t="str">
        <x:v>Operations Lead</x:v>
      </x:c>
      <x:c r="L23" s="7" t="str">
        <x:v>≤ 17.5% labor cost</x:v>
      </x:c>
    </x:row>
    <x:row r="24">
      <x:c r="A24" s="7" t="str">
        <x:v>NPS deterioration</x:v>
      </x:c>
      <x:c r="B24" s="7" t="str">
        <x:v>&lt; 62</x:v>
      </x:c>
      <x:c r="C24" s="7" t="str">
        <x:v>CX Lead</x:v>
      </x:c>
      <x:c r="D24" s="7" t="str">
        <x:v>Root-cause detractors</x:v>
      </x:c>
      <x:c r="E24" s="7" t="str">
        <x:v>Store Leader</x:v>
      </x:c>
      <x:c r="F24" s="7" t="str">
        <x:v>Controlled</x:v>
      </x:c>
      <x:c r="G24" s="7"/>
      <x:c r="H24" s="7" t="str">
        <x:v>Queue/CX review</x:v>
      </x:c>
      <x:c r="I24" s="7" t="str">
        <x:v>Weekly</x:v>
      </x:c>
      <x:c r="J24" s="7" t="str">
        <x:v>Wait time + NPS</x:v>
      </x:c>
      <x:c r="K24" s="7" t="str">
        <x:v>CX Lead</x:v>
      </x:c>
      <x:c r="L24" s="7" t="str">
        <x:v>≤ 5.8 min; NPS ≥ 62</x:v>
      </x:c>
    </x:row>
    <x:row r="25">
      <x:c r="A25" s="7" t="str">
        <x:v>Shrink deterioration</x:v>
      </x:c>
      <x:c r="B25" s="7" t="str">
        <x:v>&gt; 3.0%</x:v>
      </x:c>
      <x:c r="C25" s="7" t="str">
        <x:v>Inventory Lead</x:v>
      </x:c>
      <x:c r="D25" s="7" t="str">
        <x:v>Cycle count + exception audit</x:v>
      </x:c>
      <x:c r="E25" s="7" t="str">
        <x:v>Loss Prevention</x:v>
      </x:c>
      <x:c r="F25" s="7" t="str">
        <x:v>Controlled</x:v>
      </x:c>
      <x:c r="G25" s="7"/>
      <x:c r="H25" s="7" t="str">
        <x:v>Shrink audit</x:v>
      </x:c>
      <x:c r="I25" s="7" t="str">
        <x:v>Biweekly</x:v>
      </x:c>
      <x:c r="J25" s="7" t="str">
        <x:v>Count + exception log</x:v>
      </x:c>
      <x:c r="K25" s="7" t="str">
        <x:v>Inventory Lead</x:v>
      </x:c>
      <x:c r="L25" s="7" t="str">
        <x:v>≤ 3.0% shrink</x:v>
      </x:c>
    </x:row>
    <x:row r="26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</x:row>
    <x:row r="27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</x:row>
    <x:row r="28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</x:row>
    <x:row r="29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</x:row>
    <x:row r="30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</x:row>
  </x:sheetData>
  <x:mergeCells>
    <x:mergeCell ref="A1:H1"/>
    <x:mergeCell ref="A11:H11"/>
    <x:mergeCell ref="A12:H15"/>
    <x:mergeCell ref="A1:L2"/>
    <x:mergeCell ref="A14:F14"/>
    <x:mergeCell ref="A15:F18"/>
    <x:mergeCell ref="H14:L14"/>
    <x:mergeCell ref="A21:F21"/>
    <x:mergeCell ref="H21:L21"/>
  </x:mergeCells>
  <x:conditionalFormatting sqref="E4:E9">
    <x:cfRule type="expression" dxfId="0" priority="1">
      <x:formula>E4="On/Above Target"</x:formula>
    </x:cfRule>
    <x:cfRule type="expression" dxfId="1" priority="2">
      <x:formula>E4="Below Target"</x:formula>
    </x:cfRule>
  </x:conditionalFormatting>
  <x:conditionalFormatting sqref="H6:H11">
    <x:cfRule type="expression" dxfId="2" priority="3">
      <x:formula>H6="ON TRACK"</x:formula>
    </x:cfRule>
    <x:cfRule type="expression" dxfId="3" priority="4">
      <x:formula>H6="AT RISK"</x:formula>
    </x:cfRule>
    <x:cfRule type="expression" dxfId="4" priority="5">
      <x:formula>H6="OFF TRACK"</x:formula>
    </x:cfRule>
  </x:conditionalFormatting>
  <x:conditionalFormatting sqref="F6:F11">
    <x:cfRule type="dataBar" priority="6">
      <x:dataBar>
        <x:cfvo type="min"/>
        <x:cfvo type="max"/>
        <x:color rgb="FF4472C4"/>
      </x:dataBar>
      <x:extLst>
        <x:ext xmlns:x14="http://schemas.microsoft.com/office/spreadsheetml/2009/9/main" uri="{B025F937-C7B1-47D3-B67F-A62EFF666E3E}">
          <x14:id>{91095EFB-0F42-2EBF-1452-D7937BA67BFE}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5ccbdb5cba244aa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1095EFB-0F42-2EBF-1452-D7937BA67BFE}">
            <x14:dataBar gradient="1">
              <x14:cfvo type="min"/>
              <x14:cfvo type="max"/>
              <x14:fillColor rgb="FF4472C4"/>
            </x14:dataBar>
          </x14:cfRule>
          <xm:sqref>F6:F11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.5" hidden="0" customWidth="1"/>
    <x:col min="2" max="2" width="16.3799991607666" hidden="0" customWidth="1"/>
    <x:col min="3" max="3" width="37.5" hidden="0" customWidth="1"/>
    <x:col min="4" max="4" width="17" hidden="0" customWidth="1"/>
    <x:col min="5" max="5" width="6.880000114440918" hidden="0" customWidth="1"/>
    <x:col min="6" max="6" width="4.25" hidden="0" customWidth="1"/>
    <x:col min="7" max="7" width="4" hidden="0" customWidth="1"/>
    <x:col min="8" max="8" width="8.75" hidden="0" customWidth="1"/>
    <x:col min="9" max="9" width="25.8799991607666" hidden="0" customWidth="1"/>
    <x:col min="10" max="10" width="14.380000114440918" hidden="0" customWidth="1"/>
  </x:cols>
  <x:sheetData>
    <x:row r="1">
      <x:c r="A1" s="6" t="str">
        <x:v>ID</x:v>
      </x:c>
      <x:c r="B1" s="6" t="str">
        <x:v>Workstream</x:v>
      </x:c>
      <x:c r="C1" s="6" t="str">
        <x:v>Action</x:v>
      </x:c>
      <x:c r="D1" s="6" t="str">
        <x:v>Owner</x:v>
      </x:c>
      <x:c r="E1" s="6" t="str">
        <x:v>Priority</x:v>
      </x:c>
      <x:c r="F1" s="6" t="str">
        <x:v>Start</x:v>
      </x:c>
      <x:c r="G1" s="6" t="str">
        <x:v>Due</x:v>
      </x:c>
      <x:c r="H1" s="6" t="str">
        <x:v>Status</x:v>
      </x:c>
      <x:c r="I1" s="6" t="str">
        <x:v>Success Measure</x:v>
      </x:c>
      <x:c r="J1" s="6" t="str">
        <x:v>Dependency</x:v>
      </x:c>
    </x:row>
    <x:row r="2">
      <x:c r="A2" s="7" t="str">
        <x:v>A01</x:v>
      </x:c>
      <x:c r="B2" s="7" t="str">
        <x:v>Labor</x:v>
      </x:c>
      <x:c r="C2" s="7" t="str">
        <x:v>Rebuild staffing model around traffic by daypart</x:v>
      </x:c>
      <x:c r="D2" s="7" t="str">
        <x:v>Store Operations Lead</x:v>
      </x:c>
      <x:c r="E2" s="7" t="str">
        <x:v>High</x:v>
      </x:c>
      <x:c r="F2" s="7" t="str">
        <x:v>W1</x:v>
      </x:c>
      <x:c r="G2" s="7" t="str">
        <x:v>W3</x:v>
      </x:c>
      <x:c r="H2" s="7" t="str">
        <x:v>Complete</x:v>
      </x:c>
      <x:c r="I2" s="7" t="str">
        <x:v>Labor cost &lt;=17.8% by W6</x:v>
      </x:c>
      <x:c r="J2" s="7" t="str">
        <x:v>Traffic forecast</x:v>
      </x:c>
    </x:row>
    <x:row r="3">
      <x:c r="A3" s="7" t="str">
        <x:v>A02</x:v>
      </x:c>
      <x:c r="B3" s="7" t="str">
        <x:v>Customer Experience</x:v>
      </x:c>
      <x:c r="C3" s="7" t="str">
        <x:v>Set queue trigger and backup register protocol</x:v>
      </x:c>
      <x:c r="D3" s="7" t="str">
        <x:v>Front End Lead</x:v>
      </x:c>
      <x:c r="E3" s="7" t="str">
        <x:v>High</x:v>
      </x:c>
      <x:c r="F3" s="7" t="str">
        <x:v>W1</x:v>
      </x:c>
      <x:c r="G3" s="7" t="str">
        <x:v>W2</x:v>
      </x:c>
      <x:c r="H3" s="7" t="str">
        <x:v>Complete</x:v>
      </x:c>
      <x:c r="I3" s="7" t="str">
        <x:v>Wait time &lt;=6.5 min by W7</x:v>
      </x:c>
      <x:c r="J3" s="7" t="str">
        <x:v>Coverage plan</x:v>
      </x:c>
    </x:row>
    <x:row r="4">
      <x:c r="A4" s="7" t="str">
        <x:v>A03</x:v>
      </x:c>
      <x:c r="B4" s="7" t="str">
        <x:v>Shrink</x:v>
      </x:c>
      <x:c r="C4" s="7" t="str">
        <x:v>Launch cycle counts for high-risk categories</x:v>
      </x:c>
      <x:c r="D4" s="7" t="str">
        <x:v>Inventory Lead</x:v>
      </x:c>
      <x:c r="E4" s="7" t="str">
        <x:v>High</x:v>
      </x:c>
      <x:c r="F4" s="7" t="str">
        <x:v>W2</x:v>
      </x:c>
      <x:c r="G4" s="7" t="str">
        <x:v>W4</x:v>
      </x:c>
      <x:c r="H4" s="7" t="str">
        <x:v>Complete</x:v>
      </x:c>
      <x:c r="I4" s="7" t="str">
        <x:v>Shrink &lt;=3.0% by W9</x:v>
      </x:c>
      <x:c r="J4" s="7" t="str">
        <x:v>SKU exception list</x:v>
      </x:c>
    </x:row>
    <x:row r="5">
      <x:c r="A5" s="7" t="str">
        <x:v>A04</x:v>
      </x:c>
      <x:c r="B5" s="7" t="str">
        <x:v>Execution</x:v>
      </x:c>
      <x:c r="C5" s="7" t="str">
        <x:v>Implement daily opening/closing control checklist</x:v>
      </x:c>
      <x:c r="D5" s="7" t="str">
        <x:v>Assistant Manager</x:v>
      </x:c>
      <x:c r="E5" s="7" t="str">
        <x:v>High</x:v>
      </x:c>
      <x:c r="F5" s="7" t="str">
        <x:v>W1</x:v>
      </x:c>
      <x:c r="G5" s="7" t="str">
        <x:v>W2</x:v>
      </x:c>
      <x:c r="H5" s="7" t="str">
        <x:v>Complete</x:v>
      </x:c>
      <x:c r="I5" s="7" t="str">
        <x:v>Task completion &gt;=90% by W10</x:v>
      </x:c>
      <x:c r="J5" s="7" t="str">
        <x:v>Checklist adoption</x:v>
      </x:c>
    </x:row>
    <x:row r="6">
      <x:c r="A6" s="7" t="str">
        <x:v>A05</x:v>
      </x:c>
      <x:c r="B6" s="7" t="str">
        <x:v>Scheduling</x:v>
      </x:c>
      <x:c r="C6" s="7" t="str">
        <x:v>Publish schedule adherence scorecard</x:v>
      </x:c>
      <x:c r="D6" s="7" t="str">
        <x:v>Store Operations Lead</x:v>
      </x:c>
      <x:c r="E6" s="7" t="str">
        <x:v>Medium</x:v>
      </x:c>
      <x:c r="F6" s="7" t="str">
        <x:v>W2</x:v>
      </x:c>
      <x:c r="G6" s="7" t="str">
        <x:v>W4</x:v>
      </x:c>
      <x:c r="H6" s="7" t="str">
        <x:v>Complete</x:v>
      </x:c>
      <x:c r="I6" s="7" t="str">
        <x:v>Adherence &gt;=90% by W11</x:v>
      </x:c>
      <x:c r="J6" s="7" t="str">
        <x:v>Timekeeping data</x:v>
      </x:c>
    </x:row>
    <x:row r="7">
      <x:c r="A7" s="7" t="str">
        <x:v>A06</x:v>
      </x:c>
      <x:c r="B7" s="7" t="str">
        <x:v>Customer Experience</x:v>
      </x:c>
      <x:c r="C7" s="7" t="str">
        <x:v>Run weekly NPS root-cause review</x:v>
      </x:c>
      <x:c r="D7" s="7" t="str">
        <x:v>CX Lead</x:v>
      </x:c>
      <x:c r="E7" s="7" t="str">
        <x:v>Medium</x:v>
      </x:c>
      <x:c r="F7" s="7" t="str">
        <x:v>W2</x:v>
      </x:c>
      <x:c r="G7" s="7" t="str">
        <x:v>W12</x:v>
      </x:c>
      <x:c r="H7" s="7" t="str">
        <x:v>In Progress</x:v>
      </x:c>
      <x:c r="I7" s="7" t="str">
        <x:v>NPS &gt;=66 by W11</x:v>
      </x:c>
      <x:c r="J7" s="7" t="str">
        <x:v>Survey comments</x:v>
      </x:c>
    </x:row>
    <x:row r="8">
      <x:c r="A8" s="7" t="str">
        <x:v>A07</x:v>
      </x:c>
      <x:c r="B8" s="7" t="str">
        <x:v>Governance</x:v>
      </x:c>
      <x:c r="C8" s="7" t="str">
        <x:v>Run weekly KPI operating review</x:v>
      </x:c>
      <x:c r="D8" s="7" t="str">
        <x:v>Project Lead</x:v>
      </x:c>
      <x:c r="E8" s="7" t="str">
        <x:v>High</x:v>
      </x:c>
      <x:c r="F8" s="7" t="str">
        <x:v>W1</x:v>
      </x:c>
      <x:c r="G8" s="7" t="str">
        <x:v>W12</x:v>
      </x:c>
      <x:c r="H8" s="7" t="str">
        <x:v>In Progress</x:v>
      </x:c>
      <x:c r="I8" s="7" t="str">
        <x:v>100% weekly reviews held</x:v>
      </x:c>
      <x:c r="J8" s="7" t="str">
        <x:v>Dashboard refresh</x:v>
      </x:c>
    </x:row>
    <x:row r="9">
      <x:c r="A9" s="7" t="str">
        <x:v>A08</x:v>
      </x:c>
      <x:c r="B9" s="7" t="str">
        <x:v>Sustainment</x:v>
      </x:c>
      <x:c r="C9" s="7" t="str">
        <x:v>Transfer controls to BAU owners</x:v>
      </x:c>
      <x:c r="D9" s="7" t="str">
        <x:v>Store Manager</x:v>
      </x:c>
      <x:c r="E9" s="7" t="str">
        <x:v>High</x:v>
      </x:c>
      <x:c r="F9" s="7" t="str">
        <x:v>W10</x:v>
      </x:c>
      <x:c r="G9" s="7" t="str">
        <x:v>W12</x:v>
      </x:c>
      <x:c r="H9" s="7" t="str">
        <x:v>Planned</x:v>
      </x:c>
      <x:c r="I9" s="7" t="str">
        <x:v>All controls assigned/documented</x:v>
      </x:c>
      <x:c r="J9" s="7" t="str">
        <x:v>Final sign-off</x:v>
      </x:c>
    </x:row>
  </x:sheetData>
  <x:dataValidations count="1">
    <x:dataValidation type="list" sqref="H2:H9">
      <x:formula1>"Planned,In Progress,Complete,Blocked"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75" hidden="0" customWidth="1"/>
    <x:col min="2" max="2" width="28.6299991607666" hidden="0" customWidth="1"/>
    <x:col min="3" max="3" width="7.880000114440918" hidden="0" customWidth="1"/>
    <x:col min="4" max="4" width="8.380000114440918" hidden="0" customWidth="1"/>
    <x:col min="5" max="5" width="5.880000114440918" hidden="0" customWidth="1"/>
    <x:col min="6" max="6" width="4.75" hidden="0" customWidth="1"/>
    <x:col min="7" max="7" width="5.380000114440918" hidden="0" customWidth="1"/>
    <x:col min="8" max="8" width="34" hidden="0" customWidth="1"/>
    <x:col min="9" max="9" width="28.3799991607666" hidden="0" customWidth="1"/>
    <x:col min="10" max="10" width="17" hidden="0" customWidth="1"/>
    <x:col min="11" max="11" width="8.880000114440918" hidden="0" customWidth="1"/>
  </x:cols>
  <x:sheetData>
    <x:row r="1">
      <x:c r="A1" s="6" t="str">
        <x:v>Risk ID</x:v>
      </x:c>
      <x:c r="B1" s="6" t="str">
        <x:v>Risk</x:v>
      </x:c>
      <x:c r="C1" s="6" t="str">
        <x:v>Category</x:v>
      </x:c>
      <x:c r="D1" s="6" t="str">
        <x:v>Likelihood</x:v>
      </x:c>
      <x:c r="E1" s="6" t="str">
        <x:v>Impact</x:v>
      </x:c>
      <x:c r="F1" s="6" t="str">
        <x:v>Score</x:v>
      </x:c>
      <x:c r="G1" s="6" t="str">
        <x:v>Rating</x:v>
      </x:c>
      <x:c r="H1" s="6" t="str">
        <x:v>Mitigation</x:v>
      </x:c>
      <x:c r="I1" s="6" t="str">
        <x:v>Contingency</x:v>
      </x:c>
      <x:c r="J1" s="6" t="str">
        <x:v>Owner</x:v>
      </x:c>
      <x:c r="K1" s="6" t="str">
        <x:v>Status</x:v>
      </x:c>
    </x:row>
    <x:row r="2">
      <x:c r="A2" s="7" t="str">
        <x:v>R01</x:v>
      </x:c>
      <x:c r="B2" s="7" t="str">
        <x:v>Understaffing during peak periods</x:v>
      </x:c>
      <x:c r="C2" s="7" t="str">
        <x:v>Capacity</x:v>
      </x:c>
      <x:c r="D2" s="7" t="n">
        <x:v>4</x:v>
      </x:c>
      <x:c r="E2" s="7" t="n">
        <x:v>5</x:v>
      </x:c>
      <x:c r="F2" s="7" t="n">
        <x:f>D2*E2</x:f>
        <x:v>20</x:v>
      </x:c>
      <x:c r="G2" s="7" t="str">
        <x:f>IF(F2&gt;=15,"High",IF(F2&gt;=8,"Medium","Low"))</x:f>
        <x:v>High</x:v>
      </x:c>
      <x:c r="H2" s="7" t="str">
        <x:v>Cross-train associates; protect peak coverage</x:v>
      </x:c>
      <x:c r="I2" s="7" t="str">
        <x:v>Activate on-call/shift swap pool</x:v>
      </x:c>
      <x:c r="J2" s="7" t="str">
        <x:v>Store Operations Lead</x:v>
      </x:c>
      <x:c r="K2" s="7" t="str">
        <x:v>Open</x:v>
      </x:c>
    </x:row>
    <x:row r="3">
      <x:c r="A3" s="7" t="str">
        <x:v>R02</x:v>
      </x:c>
      <x:c r="B3" s="7" t="str">
        <x:v>Low adoption of daily controls</x:v>
      </x:c>
      <x:c r="C3" s="7" t="str">
        <x:v>Change</x:v>
      </x:c>
      <x:c r="D3" s="7" t="n">
        <x:v>3</x:v>
      </x:c>
      <x:c r="E3" s="7" t="n">
        <x:v>4</x:v>
      </x:c>
      <x:c r="F3" s="7" t="n">
        <x:f>D3*E3</x:f>
        <x:v>12</x:v>
      </x:c>
      <x:c r="G3" s="7" t="str">
        <x:f>IF(F3&gt;=15,"High",IF(F3&gt;=8,"Medium","Low"))</x:f>
        <x:v>Medium</x:v>
      </x:c>
      <x:c r="H3" s="7" t="str">
        <x:v>Leader huddles and visible ownership</x:v>
      </x:c>
      <x:c r="I3" s="7" t="str">
        <x:v>Escalate repeat misses</x:v>
      </x:c>
      <x:c r="J3" s="7" t="str">
        <x:v>Assistant Manager</x:v>
      </x:c>
      <x:c r="K3" s="7" t="str">
        <x:v>Monitoring</x:v>
      </x:c>
    </x:row>
    <x:row r="4">
      <x:c r="A4" s="7" t="str">
        <x:v>R03</x:v>
      </x:c>
      <x:c r="B4" s="7" t="str">
        <x:v>Inventory variance persists</x:v>
      </x:c>
      <x:c r="C4" s="7" t="str">
        <x:v>Inventory</x:v>
      </x:c>
      <x:c r="D4" s="7" t="n">
        <x:v>3</x:v>
      </x:c>
      <x:c r="E4" s="7" t="n">
        <x:v>5</x:v>
      </x:c>
      <x:c r="F4" s="7" t="n">
        <x:f>D4*E4</x:f>
        <x:v>15</x:v>
      </x:c>
      <x:c r="G4" s="7" t="str">
        <x:f>IF(F4&gt;=15,"High",IF(F4&gt;=8,"Medium","Low"))</x:f>
        <x:v>High</x:v>
      </x:c>
      <x:c r="H4" s="7" t="str">
        <x:v>Cycle counts and exception review</x:v>
      </x:c>
      <x:c r="I4" s="7" t="str">
        <x:v>Targeted audit and receiving review</x:v>
      </x:c>
      <x:c r="J4" s="7" t="str">
        <x:v>Inventory Lead</x:v>
      </x:c>
      <x:c r="K4" s="7" t="str">
        <x:v>Monitoring</x:v>
      </x:c>
    </x:row>
    <x:row r="5">
      <x:c r="A5" s="7" t="str">
        <x:v>R04</x:v>
      </x:c>
      <x:c r="B5" s="7" t="str">
        <x:v>Customer wait-time spikes</x:v>
      </x:c>
      <x:c r="C5" s="7" t="str">
        <x:v>Service</x:v>
      </x:c>
      <x:c r="D5" s="7" t="n">
        <x:v>4</x:v>
      </x:c>
      <x:c r="E5" s="7" t="n">
        <x:v>4</x:v>
      </x:c>
      <x:c r="F5" s="7" t="n">
        <x:f>D5*E5</x:f>
        <x:v>16</x:v>
      </x:c>
      <x:c r="G5" s="7" t="str">
        <x:f>IF(F5&gt;=15,"High",IF(F5&gt;=8,"Medium","Low"))</x:f>
        <x:v>High</x:v>
      </x:c>
      <x:c r="H5" s="7" t="str">
        <x:v>Queue trigger at threshold</x:v>
      </x:c>
      <x:c r="I5" s="7" t="str">
        <x:v>Reallocate floor coverage</x:v>
      </x:c>
      <x:c r="J5" s="7" t="str">
        <x:v>Front End Lead</x:v>
      </x:c>
      <x:c r="K5" s="7" t="str">
        <x:v>Open</x:v>
      </x:c>
    </x:row>
    <x:row r="6">
      <x:c r="A6" s="7" t="str">
        <x:v>R05</x:v>
      </x:c>
      <x:c r="B6" s="7" t="str">
        <x:v>Data quality delays dashboard refresh</x:v>
      </x:c>
      <x:c r="C6" s="7" t="str">
        <x:v>Reporting</x:v>
      </x:c>
      <x:c r="D6" s="7" t="n">
        <x:v>2</x:v>
      </x:c>
      <x:c r="E6" s="7" t="n">
        <x:v>4</x:v>
      </x:c>
      <x:c r="F6" s="7" t="n">
        <x:f>D6*E6</x:f>
        <x:v>8</x:v>
      </x:c>
      <x:c r="G6" s="7" t="str">
        <x:f>IF(F6&gt;=15,"High",IF(F6&gt;=8,"Medium","Low"))</x:f>
        <x:v>Medium</x:v>
      </x:c>
      <x:c r="H6" s="7" t="str">
        <x:v>Standard data cut-off and validation</x:v>
      </x:c>
      <x:c r="I6" s="7" t="str">
        <x:v>Use prior-day verified snapshot</x:v>
      </x:c>
      <x:c r="J6" s="7" t="str">
        <x:v>Project Lead</x:v>
      </x:c>
      <x:c r="K6" s="7" t="str">
        <x:v>Monitoring</x:v>
      </x:c>
    </x:row>
    <x:row r="7">
      <x:c r="A7" s="7" t="str">
        <x:v>R06</x:v>
      </x:c>
      <x:c r="B7" s="7" t="str">
        <x:v>Labor savings reduce service quality</x:v>
      </x:c>
      <x:c r="C7" s="7" t="str">
        <x:v>Tradeoff</x:v>
      </x:c>
      <x:c r="D7" s="7" t="n">
        <x:v>3</x:v>
      </x:c>
      <x:c r="E7" s="7" t="n">
        <x:v>5</x:v>
      </x:c>
      <x:c r="F7" s="7" t="n">
        <x:f>D7*E7</x:f>
        <x:v>15</x:v>
      </x:c>
      <x:c r="G7" s="7" t="str">
        <x:f>IF(F7&gt;=15,"High",IF(F7&gt;=8,"Medium","Low"))</x:f>
        <x:v>High</x:v>
      </x:c>
      <x:c r="H7" s="7" t="str">
        <x:v>Guardrail NPS and wait-time metrics</x:v>
      </x:c>
      <x:c r="I7" s="7" t="str">
        <x:v>Restore coverage in affected dayparts</x:v>
      </x:c>
      <x:c r="J7" s="7" t="str">
        <x:v>Store Manager</x:v>
      </x:c>
      <x:c r="K7" s="7" t="str">
        <x:v>Open</x:v>
      </x:c>
    </x:row>
  </x:sheetData>
  <x:conditionalFormatting sqref="F2:F7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6.8799991607666" hidden="0" customWidth="1"/>
    <x:col min="3" max="3" width="7.630000114440918" hidden="0" customWidth="1"/>
    <x:col min="4" max="4" width="6.880000114440918" hidden="0" customWidth="1"/>
    <x:col min="5" max="5" width="35.380001068115234" hidden="0" customWidth="1"/>
    <x:col min="6" max="6" width="11.5" hidden="0" customWidth="1"/>
    <x:col min="7" max="7" width="22.1299991607666" hidden="0" customWidth="1"/>
    <x:col min="8" max="8" width="4.130000114440918" hidden="0" customWidth="1"/>
  </x:cols>
  <x:sheetData>
    <x:row r="1">
      <x:c r="A1" s="6" t="str">
        <x:v>Stakeholder</x:v>
      </x:c>
      <x:c r="B1" s="6" t="str">
        <x:v>Role</x:v>
      </x:c>
      <x:c r="C1" s="6" t="str">
        <x:v>Influence</x:v>
      </x:c>
      <x:c r="D1" s="6" t="str">
        <x:v>Interest</x:v>
      </x:c>
      <x:c r="E1" s="6" t="str">
        <x:v>Primary Need</x:v>
      </x:c>
      <x:c r="F1" s="6" t="str">
        <x:v>Cadence</x:v>
      </x:c>
      <x:c r="G1" s="6" t="str">
        <x:v>Decision Rights</x:v>
      </x:c>
      <x:c r="H1" s="6" t="str">
        <x:v>RACI</x:v>
      </x:c>
    </x:row>
    <x:row r="2">
      <x:c r="A2" s="7" t="str">
        <x:v>Store Manager</x:v>
      </x:c>
      <x:c r="B2" s="7" t="str">
        <x:v>Sponsor</x:v>
      </x:c>
      <x:c r="C2" s="7" t="str">
        <x:v>High</x:v>
      </x:c>
      <x:c r="D2" s="7" t="str">
        <x:v>High</x:v>
      </x:c>
      <x:c r="E2" s="7" t="str">
        <x:v>Performance recovery and sustainable controls</x:v>
      </x:c>
      <x:c r="F2" s="7" t="str">
        <x:v>Biweekly</x:v>
      </x:c>
      <x:c r="G2" s="7" t="str">
        <x:v>Approve scope/sustainment</x:v>
      </x:c>
      <x:c r="H2" s="7" t="str">
        <x:v>A</x:v>
      </x:c>
    </x:row>
    <x:row r="3">
      <x:c r="A3" s="7" t="str">
        <x:v>Store Operations Lead</x:v>
      </x:c>
      <x:c r="B3" s="7" t="str">
        <x:v>Workstream Owner</x:v>
      </x:c>
      <x:c r="C3" s="7" t="str">
        <x:v>High</x:v>
      </x:c>
      <x:c r="D3" s="7" t="str">
        <x:v>High</x:v>
      </x:c>
      <x:c r="E3" s="7" t="str">
        <x:v>Labor and execution performance</x:v>
      </x:c>
      <x:c r="F3" s="7" t="str">
        <x:v>Weekly</x:v>
      </x:c>
      <x:c r="G3" s="7" t="str">
        <x:v>Own labor/actions</x:v>
      </x:c>
      <x:c r="H3" s="7" t="str">
        <x:v>R</x:v>
      </x:c>
    </x:row>
    <x:row r="4">
      <x:c r="A4" s="7" t="str">
        <x:v>Assistant Manager</x:v>
      </x:c>
      <x:c r="B4" s="7" t="str">
        <x:v>Control Owner</x:v>
      </x:c>
      <x:c r="C4" s="7" t="str">
        <x:v>Medium</x:v>
      </x:c>
      <x:c r="D4" s="7" t="str">
        <x:v>High</x:v>
      </x:c>
      <x:c r="E4" s="7" t="str">
        <x:v>Daily execution consistency</x:v>
      </x:c>
      <x:c r="F4" s="7" t="str">
        <x:v>Daily + Weekly</x:v>
      </x:c>
      <x:c r="G4" s="7" t="str">
        <x:v>Own checklists</x:v>
      </x:c>
      <x:c r="H4" s="7" t="str">
        <x:v>R</x:v>
      </x:c>
    </x:row>
    <x:row r="5">
      <x:c r="A5" s="7" t="str">
        <x:v>Front End Lead</x:v>
      </x:c>
      <x:c r="B5" s="7" t="str">
        <x:v>CX Owner</x:v>
      </x:c>
      <x:c r="C5" s="7" t="str">
        <x:v>Medium</x:v>
      </x:c>
      <x:c r="D5" s="7" t="str">
        <x:v>High</x:v>
      </x:c>
      <x:c r="E5" s="7" t="str">
        <x:v>Queue and NPS improvement</x:v>
      </x:c>
      <x:c r="F5" s="7" t="str">
        <x:v>Weekly</x:v>
      </x:c>
      <x:c r="G5" s="7" t="str">
        <x:v>Adjust front-end deployment</x:v>
      </x:c>
      <x:c r="H5" s="7" t="str">
        <x:v>R</x:v>
      </x:c>
    </x:row>
    <x:row r="6">
      <x:c r="A6" s="7" t="str">
        <x:v>Inventory Lead</x:v>
      </x:c>
      <x:c r="B6" s="7" t="str">
        <x:v>Shrink Owner</x:v>
      </x:c>
      <x:c r="C6" s="7" t="str">
        <x:v>Medium</x:v>
      </x:c>
      <x:c r="D6" s="7" t="str">
        <x:v>High</x:v>
      </x:c>
      <x:c r="E6" s="7" t="str">
        <x:v>Inventory accuracy</x:v>
      </x:c>
      <x:c r="F6" s="7" t="str">
        <x:v>Weekly</x:v>
      </x:c>
      <x:c r="G6" s="7" t="str">
        <x:v>Own counts/exceptions</x:v>
      </x:c>
      <x:c r="H6" s="7" t="str">
        <x:v>R</x:v>
      </x:c>
    </x:row>
    <x:row r="7">
      <x:c r="A7" s="7" t="str">
        <x:v>District Manager</x:v>
      </x:c>
      <x:c r="B7" s="7" t="str">
        <x:v>Executive Stakeholder</x:v>
      </x:c>
      <x:c r="C7" s="7" t="str">
        <x:v>High</x:v>
      </x:c>
      <x:c r="D7" s="7" t="str">
        <x:v>Medium</x:v>
      </x:c>
      <x:c r="E7" s="7" t="str">
        <x:v>Trend and escalation visibility</x:v>
      </x:c>
      <x:c r="F7" s="7" t="str">
        <x:v>Monthly</x:v>
      </x:c>
      <x:c r="G7" s="7" t="str">
        <x:v>Escalation/support</x:v>
      </x:c>
      <x:c r="H7" s="7" t="str">
        <x:v>C</x:v>
      </x:c>
    </x:row>
    <x:row r="8">
      <x:c r="A8" s="7" t="str">
        <x:v>Associates</x:v>
      </x:c>
      <x:c r="B8" s="7" t="str">
        <x:v>Execution Team</x:v>
      </x:c>
      <x:c r="C8" s="7" t="str">
        <x:v>Low</x:v>
      </x:c>
      <x:c r="D8" s="7" t="str">
        <x:v>High</x:v>
      </x:c>
      <x:c r="E8" s="7" t="str">
        <x:v>Clear expectations/workable schedules</x:v>
      </x:c>
      <x:c r="F8" s="7" t="str">
        <x:v>Daily</x:v>
      </x:c>
      <x:c r="G8" s="7" t="str">
        <x:v>Execute controls</x:v>
      </x:c>
      <x:c r="H8" s="7" t="str">
        <x:v>I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9.5" hidden="0" customWidth="1"/>
    <x:col min="3" max="3" width="39" hidden="0" customWidth="1"/>
    <x:col min="4" max="4" width="9" hidden="0" customWidth="1"/>
    <x:col min="5" max="5" width="16.6299991607666" hidden="0" customWidth="1"/>
    <x:col min="6" max="6" width="17" hidden="0" customWidth="1"/>
    <x:col min="7" max="7" width="17.1299991607666" hidden="0" customWidth="1"/>
    <x:col min="8" max="8" width="23.8799991607666" hidden="0" customWidth="1"/>
    <x:col min="9" max="9" width="5.25" hidden="0" customWidth="1"/>
  </x:cols>
  <x:sheetData>
    <x:row r="1">
      <x:c r="A1" s="6" t="str">
        <x:v>Control ID</x:v>
      </x:c>
      <x:c r="B1" s="6" t="str">
        <x:v>Process</x:v>
      </x:c>
      <x:c r="C1" s="6" t="str">
        <x:v>Control</x:v>
      </x:c>
      <x:c r="D1" s="6" t="str">
        <x:v>Frequency</x:v>
      </x:c>
      <x:c r="E1" s="6" t="str">
        <x:v>Evidence</x:v>
      </x:c>
      <x:c r="F1" s="6" t="str">
        <x:v>Owner</x:v>
      </x:c>
      <x:c r="G1" s="6" t="str">
        <x:v>Threshold</x:v>
      </x:c>
      <x:c r="H1" s="6" t="str">
        <x:v>Escalation</x:v>
      </x:c>
      <x:c r="I1" s="6" t="str">
        <x:v>Status</x:v>
      </x:c>
    </x:row>
    <x:row r="2">
      <x:c r="A2" s="7" t="str">
        <x:v>C01</x:v>
      </x:c>
      <x:c r="B2" s="7" t="str">
        <x:v>Opening</x:v>
      </x:c>
      <x:c r="C2" s="7" t="str">
        <x:v>Opening readiness checklist completed before open</x:v>
      </x:c>
      <x:c r="D2" s="7" t="str">
        <x:v>Daily</x:v>
      </x:c>
      <x:c r="E2" s="7" t="str">
        <x:v>Signed checklist</x:v>
      </x:c>
      <x:c r="F2" s="7" t="str">
        <x:v>Assistant Manager</x:v>
      </x:c>
      <x:c r="G2" s="7" t="str">
        <x:v>100%</x:v>
      </x:c>
      <x:c r="H2" s="7" t="str">
        <x:v>Store Manager after 1 miss</x:v>
      </x:c>
      <x:c r="I2" s="7" t="str">
        <x:v>Active</x:v>
      </x:c>
    </x:row>
    <x:row r="3">
      <x:c r="A3" s="7" t="str">
        <x:v>C02</x:v>
      </x:c>
      <x:c r="B3" s="7" t="str">
        <x:v>Labor</x:v>
      </x:c>
      <x:c r="C3" s="7" t="str">
        <x:v>Actual hours vs plan reviewed</x:v>
      </x:c>
      <x:c r="D3" s="7" t="str">
        <x:v>Daily</x:v>
      </x:c>
      <x:c r="E3" s="7" t="str">
        <x:v>Labor variance report</x:v>
      </x:c>
      <x:c r="F3" s="7" t="str">
        <x:v>Store Operations Lead</x:v>
      </x:c>
      <x:c r="G3" s="7" t="str">
        <x:v>&gt;3% unfavorable</x:v>
      </x:c>
      <x:c r="H3" s="7" t="str">
        <x:v>Same-day coverage adjustment</x:v>
      </x:c>
      <x:c r="I3" s="7" t="str">
        <x:v>Active</x:v>
      </x:c>
    </x:row>
    <x:row r="4">
      <x:c r="A4" s="7" t="str">
        <x:v>C03</x:v>
      </x:c>
      <x:c r="B4" s="7" t="str">
        <x:v>Queue</x:v>
      </x:c>
      <x:c r="C4" s="7" t="str">
        <x:v>Backup register opened at threshold</x:v>
      </x:c>
      <x:c r="D4" s="7" t="str">
        <x:v>Continuous</x:v>
      </x:c>
      <x:c r="E4" s="7" t="str">
        <x:v>Queue log</x:v>
      </x:c>
      <x:c r="F4" s="7" t="str">
        <x:v>Front End Lead</x:v>
      </x:c>
      <x:c r="G4" s="7" t="str">
        <x:v>&gt;4 customers / &gt;5 min</x:v>
      </x:c>
      <x:c r="H4" s="7" t="str">
        <x:v>Deploy backup cashier</x:v>
      </x:c>
      <x:c r="I4" s="7" t="str">
        <x:v>Active</x:v>
      </x:c>
    </x:row>
    <x:row r="5">
      <x:c r="A5" s="7" t="str">
        <x:v>C04</x:v>
      </x:c>
      <x:c r="B5" s="7" t="str">
        <x:v>Inventory</x:v>
      </x:c>
      <x:c r="C5" s="7" t="str">
        <x:v>High-risk SKU cycle count</x:v>
      </x:c>
      <x:c r="D5" s="7" t="str">
        <x:v>Weekly</x:v>
      </x:c>
      <x:c r="E5" s="7" t="str">
        <x:v>Count sheet</x:v>
      </x:c>
      <x:c r="F5" s="7" t="str">
        <x:v>Inventory Lead</x:v>
      </x:c>
      <x:c r="G5" s="7" t="str">
        <x:v>&gt;1.5% variance</x:v>
      </x:c>
      <x:c r="H5" s="7" t="str">
        <x:v>Root-cause review</x:v>
      </x:c>
      <x:c r="I5" s="7" t="str">
        <x:v>Active</x:v>
      </x:c>
    </x:row>
    <x:row r="6">
      <x:c r="A6" s="7" t="str">
        <x:v>C05</x:v>
      </x:c>
      <x:c r="B6" s="7" t="str">
        <x:v>KPI</x:v>
      </x:c>
      <x:c r="C6" s="7" t="str">
        <x:v>Dashboard data validation</x:v>
      </x:c>
      <x:c r="D6" s="7" t="str">
        <x:v>Weekly</x:v>
      </x:c>
      <x:c r="E6" s="7" t="str">
        <x:v>Validation checklist</x:v>
      </x:c>
      <x:c r="F6" s="7" t="str">
        <x:v>Project Lead</x:v>
      </x:c>
      <x:c r="G6" s="7" t="str">
        <x:v>0 critical errors</x:v>
      </x:c>
      <x:c r="H6" s="7" t="str">
        <x:v>Hold readout until corrected</x:v>
      </x:c>
      <x:c r="I6" s="7" t="str">
        <x:v>Active</x:v>
      </x:c>
    </x:row>
    <x:row r="7">
      <x:c r="A7" s="7" t="str">
        <x:v>C06</x:v>
      </x:c>
      <x:c r="B7" s="7" t="str">
        <x:v>Governance</x:v>
      </x:c>
      <x:c r="C7" s="7" t="str">
        <x:v>Open actions reviewed and aged</x:v>
      </x:c>
      <x:c r="D7" s="7" t="str">
        <x:v>Weekly</x:v>
      </x:c>
      <x:c r="E7" s="7" t="str">
        <x:v>Action log</x:v>
      </x:c>
      <x:c r="F7" s="7" t="str">
        <x:v>Project Lead</x:v>
      </x:c>
      <x:c r="G7" s="7" t="str">
        <x:v>&gt;7 days overdue</x:v>
      </x:c>
      <x:c r="H7" s="7" t="str">
        <x:v>Escalate to sponsor</x:v>
      </x:c>
      <x:c r="I7" s="7" t="str">
        <x:v>Active</x:v>
      </x:c>
    </x:row>
  </x:sheetData>
  <x:pageMargins left="0.7" right="0.7" top="0.75" bottom="0.75" header="0.3" footer="0.3"/>
</x:worksheet>
</file>