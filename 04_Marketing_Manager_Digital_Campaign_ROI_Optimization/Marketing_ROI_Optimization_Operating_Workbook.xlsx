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7b9984a44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Data" sheetId="1" r:id="R36f119f864a9465a"/>
    <x:sheet xmlns:r="http://schemas.openxmlformats.org/officeDocument/2006/relationships" name="Executive_Dashboard" sheetId="2" r:id="R4010b860c8d24b5f"/>
    <x:sheet xmlns:r="http://schemas.openxmlformats.org/officeDocument/2006/relationships" name="Channel_Scorecard" sheetId="3" r:id="R84ec58cd7ef64938"/>
    <x:sheet xmlns:r="http://schemas.openxmlformats.org/officeDocument/2006/relationships" name="Budget_Allocation" sheetId="4" r:id="R1413cf6f69594f8a"/>
    <x:sheet xmlns:r="http://schemas.openxmlformats.org/officeDocument/2006/relationships" name="Funnel_Performance" sheetId="5" r:id="R40297f2b17fd4534"/>
    <x:sheet xmlns:r="http://schemas.openxmlformats.org/officeDocument/2006/relationships" name="Action_Plan" sheetId="6" r:id="R05544e2da89f4d70"/>
    <x:sheet xmlns:r="http://schemas.openxmlformats.org/officeDocument/2006/relationships" name="Risk_Register" sheetId="7" r:id="R0b3eeb2cd16f4ee4"/>
    <x:sheet xmlns:r="http://schemas.openxmlformats.org/officeDocument/2006/relationships" name="Experiment_Log" sheetId="8" r:id="R03742dc013ae4f59"/>
    <x:sheet xmlns:r="http://schemas.openxmlformats.org/officeDocument/2006/relationships" name="Sales_SLA" sheetId="9" r:id="R2e8ec9bc3d2840ab"/>
    <x:sheet xmlns:r="http://schemas.openxmlformats.org/officeDocument/2006/relationships" name="Control_Log" sheetId="10" r:id="Refd3bf27ce12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x"/>
    <x:numFmt numFmtId="202" formatCode="$0"/>
    <x:numFmt numFmtId="203" formatCode="$#,##0"/>
    <x:numFmt numFmtId="204" formatCode="$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c0fd2554e41c6" /><Relationship Type="http://schemas.openxmlformats.org/officeDocument/2006/relationships/theme" Target="/xl/theme/theme1.xml" Id="Rfdd9e760cdd843a2" /><Relationship Type="http://schemas.openxmlformats.org/officeDocument/2006/relationships/sharedStrings" Target="/xl/sharedStrings.xml" Id="R54fac817bc8141e1" /><Relationship Type="http://schemas.openxmlformats.org/officeDocument/2006/relationships/worksheet" Target="/xl/worksheets/sheet1.xml" Id="R36f119f864a9465a" /><Relationship Type="http://schemas.openxmlformats.org/officeDocument/2006/relationships/worksheet" Target="/xl/worksheets/sheet2.xml" Id="R4010b860c8d24b5f" /><Relationship Type="http://schemas.openxmlformats.org/officeDocument/2006/relationships/worksheet" Target="/xl/worksheets/sheet3.xml" Id="R84ec58cd7ef64938" /><Relationship Type="http://schemas.openxmlformats.org/officeDocument/2006/relationships/worksheet" Target="/xl/worksheets/sheet4.xml" Id="R1413cf6f69594f8a" /><Relationship Type="http://schemas.openxmlformats.org/officeDocument/2006/relationships/worksheet" Target="/xl/worksheets/sheet5.xml" Id="R40297f2b17fd4534" /><Relationship Type="http://schemas.openxmlformats.org/officeDocument/2006/relationships/worksheet" Target="/xl/worksheets/sheet6.xml" Id="R05544e2da89f4d70" /><Relationship Type="http://schemas.openxmlformats.org/officeDocument/2006/relationships/worksheet" Target="/xl/worksheets/sheet7.xml" Id="R0b3eeb2cd16f4ee4" /><Relationship Type="http://schemas.openxmlformats.org/officeDocument/2006/relationships/worksheet" Target="/xl/worksheets/sheet8.xml" Id="R03742dc013ae4f59" /><Relationship Type="http://schemas.openxmlformats.org/officeDocument/2006/relationships/worksheet" Target="/xl/worksheets/sheet9.xml" Id="R2e8ec9bc3d2840ab" /><Relationship Type="http://schemas.openxmlformats.org/officeDocument/2006/relationships/worksheet" Target="/xl/worksheets/sheet10.xml" Id="Refd3bf27ce1245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01213dc7324a1d" /><Relationship Type="http://schemas.openxmlformats.org/officeDocument/2006/relationships/chart" Target="/xl/drawings/charts/chart2.xml" Id="R9243d765296d47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ROAS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ROAS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'Weekly_Data'!$E$2:$E$13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Qualified Lead Rate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Qualified Lead Rate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'Weekly_Data'!$G$2:$G$13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01213dc7324a1d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43d765296d47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f1a7a91314c45e5" /></Relationships>
</file>

<file path=xl/worksheets/sheet1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13.25" hidden="0" customWidth="1"/>
    <x:col min="3" max="3" width="15" hidden="0" customWidth="1"/>
    <x:col min="4" max="4" width="13" hidden="0" customWidth="1"/>
    <x:col min="5" max="5" width="4.630000114440918" hidden="0" customWidth="1"/>
    <x:col min="6" max="6" width="4.5" hidden="0" customWidth="1"/>
    <x:col min="7" max="7" width="16.75" hidden="0" customWidth="1"/>
    <x:col min="8" max="8" width="15.75" hidden="0" customWidth="1"/>
    <x:col min="9" max="9" width="15.5" hidden="0" customWidth="1"/>
    <x:col min="10" max="10" width="9.130000114440918" hidden="0" customWidth="1"/>
    <x:col min="11" max="11" width="13" hidden="0" customWidth="1"/>
    <x:col min="12" max="12" width="13.75" hidden="0" customWidth="1"/>
  </x:cols>
  <x:sheetData>
    <x:row r="1">
      <x:c r="A1" s="6" t="str">
        <x:v>Week</x:v>
      </x:c>
      <x:c r="B1" s="12" t="str">
        <x:v>Marketing Spend</x:v>
      </x:c>
      <x:c r="C1" s="12" t="str">
        <x:v>Attributed Revenue</x:v>
      </x:c>
      <x:c r="D1" s="12" t="str">
        <x:v>Marketing ROI %</x:v>
      </x:c>
      <x:c r="E1" s="12" t="str">
        <x:v>ROAS</x:v>
      </x:c>
      <x:c r="F1" s="12" t="str">
        <x:v>CPQL</x:v>
      </x:c>
      <x:c r="G1" s="12" t="str">
        <x:v>Qualified Lead Rate %</x:v>
      </x:c>
      <x:c r="H1" s="12" t="str">
        <x:v>Lead-to-Customer %</x:v>
      </x:c>
      <x:c r="I1" s="12" t="str">
        <x:v>Landing Page CVR %</x:v>
      </x:c>
      <x:c r="J1" s="12" t="str">
        <x:v>Sales SLA %</x:v>
      </x:c>
      <x:c r="K1" s="12" t="str">
        <x:v>Wasted Spend %</x:v>
      </x:c>
      <x:c r="L1" s="12" t="str">
        <x:v>Qualified Pipeline</x:v>
      </x:c>
    </x:row>
    <x:row r="2">
      <x:c r="A2" s="12" t="str">
        <x:v>W1</x:v>
      </x:c>
      <x:c r="B2" s="12" t="n">
        <x:v>120000</x:v>
      </x:c>
      <x:c r="C2" s="12" t="n">
        <x:v>273600</x:v>
      </x:c>
      <x:c r="D2" s="32" t="n">
        <x:v>1.28</x:v>
      </x:c>
      <x:c r="E2" s="34" t="n">
        <x:v>2.28</x:v>
      </x:c>
      <x:c r="F2" s="36" t="n">
        <x:v>186</x:v>
      </x:c>
      <x:c r="G2" s="32" t="n">
        <x:v>0.38</x:v>
      </x:c>
      <x:c r="H2" s="32" t="n">
        <x:v>0.082</x:v>
      </x:c>
      <x:c r="I2" s="32" t="n">
        <x:v>0.041</x:v>
      </x:c>
      <x:c r="J2" s="32" t="n">
        <x:v>0.63</x:v>
      </x:c>
      <x:c r="K2" s="32" t="n">
        <x:v>0.18</x:v>
      </x:c>
      <x:c r="L2" s="12" t="n">
        <x:v>485000</x:v>
      </x:c>
    </x:row>
    <x:row r="3">
      <x:c r="A3" s="12" t="str">
        <x:v>W2</x:v>
      </x:c>
      <x:c r="B3" s="12" t="n">
        <x:v>119000</x:v>
      </x:c>
      <x:c r="C3" s="12" t="n">
        <x:v>278460</x:v>
      </x:c>
      <x:c r="D3" s="32" t="n">
        <x:v>1.34</x:v>
      </x:c>
      <x:c r="E3" s="34" t="n">
        <x:v>2.34</x:v>
      </x:c>
      <x:c r="F3" s="36" t="n">
        <x:v>180</x:v>
      </x:c>
      <x:c r="G3" s="32" t="n">
        <x:v>0.4</x:v>
      </x:c>
      <x:c r="H3" s="32" t="n">
        <x:v>0.085</x:v>
      </x:c>
      <x:c r="I3" s="32" t="n">
        <x:v>0.043</x:v>
      </x:c>
      <x:c r="J3" s="32" t="n">
        <x:v>0.66</x:v>
      </x:c>
      <x:c r="K3" s="32" t="n">
        <x:v>0.17</x:v>
      </x:c>
      <x:c r="L3" s="12" t="n">
        <x:v>501000</x:v>
      </x:c>
    </x:row>
    <x:row r="4">
      <x:c r="A4" s="12" t="str">
        <x:v>W3</x:v>
      </x:c>
      <x:c r="B4" s="12" t="n">
        <x:v>118500</x:v>
      </x:c>
      <x:c r="C4" s="12" t="n">
        <x:v>284400</x:v>
      </x:c>
      <x:c r="D4" s="32" t="n">
        <x:v>1.4</x:v>
      </x:c>
      <x:c r="E4" s="34" t="n">
        <x:v>2.4</x:v>
      </x:c>
      <x:c r="F4" s="36" t="n">
        <x:v>173</x:v>
      </x:c>
      <x:c r="G4" s="32" t="n">
        <x:v>0.42</x:v>
      </x:c>
      <x:c r="H4" s="32" t="n">
        <x:v>0.088</x:v>
      </x:c>
      <x:c r="I4" s="32" t="n">
        <x:v>0.045</x:v>
      </x:c>
      <x:c r="J4" s="32" t="n">
        <x:v>0.69</x:v>
      </x:c>
      <x:c r="K4" s="32" t="n">
        <x:v>0.16</x:v>
      </x:c>
      <x:c r="L4" s="12" t="n">
        <x:v>520000</x:v>
      </x:c>
    </x:row>
    <x:row r="5">
      <x:c r="A5" s="12" t="str">
        <x:v>W4</x:v>
      </x:c>
      <x:c r="B5" s="12" t="n">
        <x:v>119500</x:v>
      </x:c>
      <x:c r="C5" s="12" t="n">
        <x:v>298750</x:v>
      </x:c>
      <x:c r="D5" s="32" t="n">
        <x:v>1.5</x:v>
      </x:c>
      <x:c r="E5" s="34" t="n">
        <x:v>2.5</x:v>
      </x:c>
      <x:c r="F5" s="36" t="n">
        <x:v>164</x:v>
      </x:c>
      <x:c r="G5" s="32" t="n">
        <x:v>0.44</x:v>
      </x:c>
      <x:c r="H5" s="32" t="n">
        <x:v>0.092</x:v>
      </x:c>
      <x:c r="I5" s="32" t="n">
        <x:v>0.047</x:v>
      </x:c>
      <x:c r="J5" s="32" t="n">
        <x:v>0.73</x:v>
      </x:c>
      <x:c r="K5" s="32" t="n">
        <x:v>0.14</x:v>
      </x:c>
      <x:c r="L5" s="12" t="n">
        <x:v>548000</x:v>
      </x:c>
    </x:row>
    <x:row r="6">
      <x:c r="A6" s="12" t="str">
        <x:v>W5</x:v>
      </x:c>
      <x:c r="B6" s="12" t="n">
        <x:v>121000</x:v>
      </x:c>
      <x:c r="C6" s="12" t="n">
        <x:v>314600</x:v>
      </x:c>
      <x:c r="D6" s="32" t="n">
        <x:v>1.6</x:v>
      </x:c>
      <x:c r="E6" s="34" t="n">
        <x:v>2.6</x:v>
      </x:c>
      <x:c r="F6" s="36" t="n">
        <x:v>155</x:v>
      </x:c>
      <x:c r="G6" s="32" t="n">
        <x:v>0.46</x:v>
      </x:c>
      <x:c r="H6" s="32" t="n">
        <x:v>0.096</x:v>
      </x:c>
      <x:c r="I6" s="32" t="n">
        <x:v>0.05</x:v>
      </x:c>
      <x:c r="J6" s="32" t="n">
        <x:v>0.77</x:v>
      </x:c>
      <x:c r="K6" s="32" t="n">
        <x:v>0.13</x:v>
      </x:c>
      <x:c r="L6" s="12" t="n">
        <x:v>576000</x:v>
      </x:c>
    </x:row>
    <x:row r="7">
      <x:c r="A7" s="12" t="str">
        <x:v>W6</x:v>
      </x:c>
      <x:c r="B7" s="12" t="n">
        <x:v>122000</x:v>
      </x:c>
      <x:c r="C7" s="12" t="n">
        <x:v>329400</x:v>
      </x:c>
      <x:c r="D7" s="32" t="n">
        <x:v>1.7</x:v>
      </x:c>
      <x:c r="E7" s="34" t="n">
        <x:v>2.7</x:v>
      </x:c>
      <x:c r="F7" s="36" t="n">
        <x:v>148</x:v>
      </x:c>
      <x:c r="G7" s="32" t="n">
        <x:v>0.48</x:v>
      </x:c>
      <x:c r="H7" s="32" t="n">
        <x:v>0.101</x:v>
      </x:c>
      <x:c r="I7" s="32" t="n">
        <x:v>0.052</x:v>
      </x:c>
      <x:c r="J7" s="32" t="n">
        <x:v>0.81</x:v>
      </x:c>
      <x:c r="K7" s="32" t="n">
        <x:v>0.12</x:v>
      </x:c>
      <x:c r="L7" s="12" t="n">
        <x:v>603000</x:v>
      </x:c>
    </x:row>
    <x:row r="8">
      <x:c r="A8" s="12" t="str">
        <x:v>W7</x:v>
      </x:c>
      <x:c r="B8" s="12" t="n">
        <x:v>123500</x:v>
      </x:c>
      <x:c r="C8" s="12" t="n">
        <x:v>345800</x:v>
      </x:c>
      <x:c r="D8" s="32" t="n">
        <x:v>1.8</x:v>
      </x:c>
      <x:c r="E8" s="34" t="n">
        <x:v>2.8</x:v>
      </x:c>
      <x:c r="F8" s="36" t="n">
        <x:v>141</x:v>
      </x:c>
      <x:c r="G8" s="32" t="n">
        <x:v>0.5</x:v>
      </x:c>
      <x:c r="H8" s="32" t="n">
        <x:v>0.106</x:v>
      </x:c>
      <x:c r="I8" s="32" t="n">
        <x:v>0.054</x:v>
      </x:c>
      <x:c r="J8" s="32" t="n">
        <x:v>0.84</x:v>
      </x:c>
      <x:c r="K8" s="32" t="n">
        <x:v>0.11</x:v>
      </x:c>
      <x:c r="L8" s="12" t="n">
        <x:v>632000</x:v>
      </x:c>
    </x:row>
    <x:row r="9">
      <x:c r="A9" s="12" t="str">
        <x:v>W8</x:v>
      </x:c>
      <x:c r="B9" s="12" t="n">
        <x:v>124000</x:v>
      </x:c>
      <x:c r="C9" s="12" t="n">
        <x:v>359600</x:v>
      </x:c>
      <x:c r="D9" s="32" t="n">
        <x:v>1.9</x:v>
      </x:c>
      <x:c r="E9" s="34" t="n">
        <x:v>2.9</x:v>
      </x:c>
      <x:c r="F9" s="36" t="n">
        <x:v>135</x:v>
      </x:c>
      <x:c r="G9" s="32" t="n">
        <x:v>0.52</x:v>
      </x:c>
      <x:c r="H9" s="32" t="n">
        <x:v>0.11</x:v>
      </x:c>
      <x:c r="I9" s="32" t="n">
        <x:v>0.056</x:v>
      </x:c>
      <x:c r="J9" s="32" t="n">
        <x:v>0.87</x:v>
      </x:c>
      <x:c r="K9" s="32" t="n">
        <x:v>0.1</x:v>
      </x:c>
      <x:c r="L9" s="12" t="n">
        <x:v>660000</x:v>
      </x:c>
    </x:row>
    <x:row r="10">
      <x:c r="A10" s="12" t="str">
        <x:v>W9</x:v>
      </x:c>
      <x:c r="B10" s="12" t="n">
        <x:v>125000</x:v>
      </x:c>
      <x:c r="C10" s="12" t="n">
        <x:v>375000</x:v>
      </x:c>
      <x:c r="D10" s="32" t="n">
        <x:v>2</x:v>
      </x:c>
      <x:c r="E10" s="34" t="n">
        <x:v>3</x:v>
      </x:c>
      <x:c r="F10" s="36" t="n">
        <x:v>130</x:v>
      </x:c>
      <x:c r="G10" s="32" t="n">
        <x:v>0.53</x:v>
      </x:c>
      <x:c r="H10" s="32" t="n">
        <x:v>0.114</x:v>
      </x:c>
      <x:c r="I10" s="32" t="n">
        <x:v>0.058</x:v>
      </x:c>
      <x:c r="J10" s="32" t="n">
        <x:v>0.89</x:v>
      </x:c>
      <x:c r="K10" s="32" t="n">
        <x:v>0.09</x:v>
      </x:c>
      <x:c r="L10" s="12" t="n">
        <x:v>689000</x:v>
      </x:c>
    </x:row>
    <x:row r="11">
      <x:c r="A11" s="12" t="str">
        <x:v>W10</x:v>
      </x:c>
      <x:c r="B11" s="12" t="n">
        <x:v>126000</x:v>
      </x:c>
      <x:c r="C11" s="12" t="n">
        <x:v>390600</x:v>
      </x:c>
      <x:c r="D11" s="32" t="n">
        <x:v>2.1</x:v>
      </x:c>
      <x:c r="E11" s="34" t="n">
        <x:v>3.1</x:v>
      </x:c>
      <x:c r="F11" s="36" t="n">
        <x:v>125</x:v>
      </x:c>
      <x:c r="G11" s="32" t="n">
        <x:v>0.55</x:v>
      </x:c>
      <x:c r="H11" s="32" t="n">
        <x:v>0.12</x:v>
      </x:c>
      <x:c r="I11" s="32" t="n">
        <x:v>0.06</x:v>
      </x:c>
      <x:c r="J11" s="32" t="n">
        <x:v>0.92</x:v>
      </x:c>
      <x:c r="K11" s="32" t="n">
        <x:v>0.07</x:v>
      </x:c>
      <x:c r="L11" s="12" t="n">
        <x:v>721000</x:v>
      </x:c>
    </x:row>
    <x:row r="12">
      <x:c r="A12" s="12" t="str">
        <x:v>W11</x:v>
      </x:c>
      <x:c r="B12" s="12" t="n">
        <x:v>127000</x:v>
      </x:c>
      <x:c r="C12" s="12" t="n">
        <x:v>406400</x:v>
      </x:c>
      <x:c r="D12" s="32" t="n">
        <x:v>2.2</x:v>
      </x:c>
      <x:c r="E12" s="34" t="n">
        <x:v>3.2</x:v>
      </x:c>
      <x:c r="F12" s="36" t="n">
        <x:v>122</x:v>
      </x:c>
      <x:c r="G12" s="32" t="n">
        <x:v>0.56</x:v>
      </x:c>
      <x:c r="H12" s="32" t="n">
        <x:v>0.123</x:v>
      </x:c>
      <x:c r="I12" s="32" t="n">
        <x:v>0.062</x:v>
      </x:c>
      <x:c r="J12" s="32" t="n">
        <x:v>0.93</x:v>
      </x:c>
      <x:c r="K12" s="32" t="n">
        <x:v>0.07</x:v>
      </x:c>
      <x:c r="L12" s="12" t="n">
        <x:v>744000</x:v>
      </x:c>
    </x:row>
    <x:row r="13">
      <x:c r="A13" s="12" t="str">
        <x:v>W12</x:v>
      </x:c>
      <x:c r="B13" s="12" t="n">
        <x:v>128000</x:v>
      </x:c>
      <x:c r="C13" s="12" t="n">
        <x:v>419840</x:v>
      </x:c>
      <x:c r="D13" s="32" t="n">
        <x:v>2.28</x:v>
      </x:c>
      <x:c r="E13" s="34" t="n">
        <x:v>3.28</x:v>
      </x:c>
      <x:c r="F13" s="36" t="n">
        <x:v>119</x:v>
      </x:c>
      <x:c r="G13" s="32" t="n">
        <x:v>0.57</x:v>
      </x:c>
      <x:c r="H13" s="32" t="n">
        <x:v>0.126</x:v>
      </x:c>
      <x:c r="I13" s="32" t="n">
        <x:v>0.063</x:v>
      </x:c>
      <x:c r="J13" s="32" t="n">
        <x:v>0.94</x:v>
      </x:c>
      <x:c r="K13" s="32" t="n">
        <x:v>0.06</x:v>
      </x:c>
      <x:c r="L13" s="12" t="n">
        <x:v>768000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>
      <x:c r="A1" s="17" t="str">
        <x:v>DIGITAL CAMPAIGN ROI OPTIMIZATION | EXECUTIVE MARKETING REVIEW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4">
      <x:c r="A4" s="6" t="str">
        <x:v>KPI</x:v>
      </x:c>
      <x:c r="B4" s="6" t="str">
        <x:v>Baseline</x:v>
      </x:c>
      <x:c r="C4" s="6" t="str">
        <x:v>Target</x:v>
      </x:c>
      <x:c r="D4" s="6" t="str">
        <x:v>Current</x:v>
      </x:c>
      <x:c r="E4" s="6" t="str">
        <x:v>Variance to Target</x:v>
      </x:c>
      <x:c r="F4" s="6" t="str">
        <x:v>Attainment</x:v>
      </x:c>
      <x:c r="G4" s="6" t="str">
        <x:v>Trend vs W1</x:v>
      </x:c>
      <x:c r="H4" s="6" t="str">
        <x:v>Health</x:v>
      </x:c>
    </x:row>
    <x:row r="5">
      <x:c r="A5" t="str">
        <x:v>Marketing ROI %</x:v>
      </x:c>
      <x:c r="B5" s="26" t="n">
        <x:v>1.28</x:v>
      </x:c>
      <x:c r="C5" s="26" t="n">
        <x:v>1.9</x:v>
      </x:c>
      <x:c r="D5" s="26" t="n">
        <x:f>Weekly_Data!D13</x:f>
        <x:v>2.28</x:v>
      </x:c>
      <x:c r="E5" s="26" t="n">
        <x:f>D5-C5</x:f>
        <x:v>0.3799999999999999</x:v>
      </x:c>
      <x:c r="F5" s="26" t="n">
        <x:f>MIN(D5/C5,1)</x:f>
        <x:v>1</x:v>
      </x:c>
      <x:c r="G5" t="n">
        <x:f>D5-B5</x:f>
        <x:v>0.9999999999999998</x:v>
      </x:c>
      <x:c r="H5" t="str">
        <x:f>IF(D5&gt;=C5,"ON TRACK",IF(D5&gt;=C5*0.95,"AT RISK","OFF TRACK"))</x:f>
        <x:v>ON TRACK</x:v>
      </x:c>
    </x:row>
    <x:row r="6">
      <x:c r="A6" t="str">
        <x:v>ROAS</x:v>
      </x:c>
      <x:c r="B6" s="28" t="n">
        <x:v>2.28</x:v>
      </x:c>
      <x:c r="C6" s="28" t="n">
        <x:v>3.1</x:v>
      </x:c>
      <x:c r="D6" s="28" t="n">
        <x:f>Weekly_Data!E13</x:f>
        <x:v>3.28</x:v>
      </x:c>
      <x:c r="E6" s="28" t="n">
        <x:f>D6-C6</x:f>
        <x:v>0.17999999999999972</x:v>
      </x:c>
      <x:c r="F6" s="26" t="n">
        <x:f>MIN(D6/C6,1)</x:f>
        <x:v>1</x:v>
      </x:c>
      <x:c r="G6" t="n">
        <x:f>D6-B6</x:f>
        <x:v>1</x:v>
      </x:c>
      <x:c r="H6" t="str">
        <x:f>IF(D6&gt;=C6,"ON TRACK",IF(D6&gt;=C6*0.95,"AT RISK","OFF TRACK"))</x:f>
        <x:v>ON TRACK</x:v>
      </x:c>
    </x:row>
    <x:row r="7">
      <x:c r="A7" t="str">
        <x:v>CPQL</x:v>
      </x:c>
      <x:c r="B7" s="30" t="n">
        <x:v>186</x:v>
      </x:c>
      <x:c r="C7" s="30" t="n">
        <x:v>125</x:v>
      </x:c>
      <x:c r="D7" s="30" t="n">
        <x:f>Weekly_Data!F13</x:f>
        <x:v>119</x:v>
      </x:c>
      <x:c r="E7" s="30" t="n">
        <x:f>C7-D7</x:f>
        <x:v>6</x:v>
      </x:c>
      <x:c r="F7" s="26" t="n">
        <x:f>IF(D7&lt;=C7,1,C7/D7)</x:f>
        <x:v>1</x:v>
      </x:c>
      <x:c r="G7" t="n">
        <x:f>B7-D7</x:f>
        <x:v>67</x:v>
      </x:c>
      <x:c r="H7" t="str">
        <x:f>IF(D7&lt;=C7,"ON TRACK",IF(D7&lt;=C7*1.1,"AT RISK","OFF TRACK"))</x:f>
        <x:v>ON TRACK</x:v>
      </x:c>
    </x:row>
    <x:row r="8">
      <x:c r="A8" t="str">
        <x:v>Qualified Lead Rate %</x:v>
      </x:c>
      <x:c r="B8" s="26" t="n">
        <x:v>0.38</x:v>
      </x:c>
      <x:c r="C8" s="26" t="n">
        <x:v>0.55</x:v>
      </x:c>
      <x:c r="D8" s="26" t="n">
        <x:f>Weekly_Data!G13</x:f>
        <x:v>0.57</x:v>
      </x:c>
      <x:c r="E8" s="26" t="n">
        <x:f>D8-C8</x:f>
        <x:v>0.019999999999999907</x:v>
      </x:c>
      <x:c r="F8" s="26" t="n">
        <x:f>MIN(D8/C8,1)</x:f>
        <x:v>1</x:v>
      </x:c>
      <x:c r="G8" t="n">
        <x:f>D8-B8</x:f>
        <x:v>0.18999999999999995</x:v>
      </x:c>
      <x:c r="H8" t="str">
        <x:f>IF(D8&gt;=C8,"ON TRACK",IF(D8&gt;=C8*0.95,"AT RISK","OFF TRACK"))</x:f>
        <x:v>ON TRACK</x:v>
      </x:c>
    </x:row>
    <x:row r="9">
      <x:c r="A9" t="str">
        <x:v>Lead-to-Customer %</x:v>
      </x:c>
      <x:c r="B9" s="26" t="n">
        <x:v>0.082</x:v>
      </x:c>
      <x:c r="C9" s="26" t="n">
        <x:v>0.12</x:v>
      </x:c>
      <x:c r="D9" s="26" t="n">
        <x:f>Weekly_Data!H13</x:f>
        <x:v>0.126</x:v>
      </x:c>
      <x:c r="E9" s="26" t="n">
        <x:f>D9-C9</x:f>
        <x:v>0.006000000000000005</x:v>
      </x:c>
      <x:c r="F9" s="26" t="n">
        <x:f>MIN(D9/C9,1)</x:f>
        <x:v>1</x:v>
      </x:c>
      <x:c r="G9" t="n">
        <x:f>D9-B9</x:f>
        <x:v>0.044</x:v>
      </x:c>
      <x:c r="H9" t="str">
        <x:f>IF(D9&gt;=C9,"ON TRACK",IF(D9&gt;=C9*0.95,"AT RISK","OFF TRACK"))</x:f>
        <x:v>ON TRACK</x:v>
      </x:c>
    </x:row>
    <x:row r="10">
      <x:c r="A10" t="str">
        <x:v>Landing Page CVR %</x:v>
      </x:c>
      <x:c r="B10" s="26" t="n">
        <x:v>0.041</x:v>
      </x:c>
      <x:c r="C10" s="26" t="n">
        <x:v>0.06</x:v>
      </x:c>
      <x:c r="D10" s="26" t="n">
        <x:f>Weekly_Data!I13</x:f>
        <x:v>0.063</x:v>
      </x:c>
      <x:c r="E10" s="26" t="n">
        <x:f>D10-C10</x:f>
        <x:v>0.0030000000000000027</x:v>
      </x:c>
      <x:c r="F10" s="26" t="n">
        <x:f>MIN(D10/C10,1)</x:f>
        <x:v>1</x:v>
      </x:c>
      <x:c r="G10" t="n">
        <x:f>D10-B10</x:f>
        <x:v>0.022</x:v>
      </x:c>
      <x:c r="H10" t="str">
        <x:f>IF(D10&gt;=C10,"ON TRACK",IF(D10&gt;=C10*0.95,"AT RISK","OFF TRACK"))</x:f>
        <x:v>ON TRACK</x:v>
      </x:c>
    </x:row>
    <x:row r="11">
      <x:c r="A11" t="str">
        <x:v>Sales SLA %</x:v>
      </x:c>
      <x:c r="B11" s="26" t="n">
        <x:v>0.63</x:v>
      </x:c>
      <x:c r="C11" s="26" t="n">
        <x:v>0.92</x:v>
      </x:c>
      <x:c r="D11" s="26" t="n">
        <x:f>Weekly_Data!J13</x:f>
        <x:v>0.94</x:v>
      </x:c>
      <x:c r="E11" s="26" t="n">
        <x:f>D11-C11</x:f>
        <x:v>0.019999999999999907</x:v>
      </x:c>
      <x:c r="F11" s="26" t="n">
        <x:f>MIN(D11/C11,1)</x:f>
        <x:v>1</x:v>
      </x:c>
      <x:c r="G11" t="n">
        <x:f>D11-B11</x:f>
        <x:v>0.30999999999999994</x:v>
      </x:c>
      <x:c r="H11" t="str">
        <x:f>IF(D11&gt;=C11,"ON TRACK",IF(D11&gt;=C11*0.95,"AT RISK","OFF TRACK"))</x:f>
        <x:v>ON TRACK</x:v>
      </x:c>
    </x:row>
    <x:row r="12">
      <x:c r="A12" t="str">
        <x:v>Wasted Spend %</x:v>
      </x:c>
      <x:c r="B12" s="26" t="n">
        <x:v>0.18</x:v>
      </x:c>
      <x:c r="C12" s="26" t="n">
        <x:v>0.07</x:v>
      </x:c>
      <x:c r="D12" s="26" t="n">
        <x:f>Weekly_Data!K13</x:f>
        <x:v>0.06</x:v>
      </x:c>
      <x:c r="E12" s="26" t="n">
        <x:f>C12-D12</x:f>
        <x:v>0.010000000000000009</x:v>
      </x:c>
      <x:c r="F12" s="26" t="n">
        <x:f>IF(D12&lt;=C12,1,C12/D12)</x:f>
        <x:v>1</x:v>
      </x:c>
      <x:c r="G12" t="n">
        <x:f>B12-D12</x:f>
        <x:v>0.12</x:v>
      </x:c>
      <x:c r="H12" t="str">
        <x:f>IF(D12&lt;=C12,"ON TRACK",IF(D12&lt;=C12*1.15,"AT RISK","OFF TRACK"))</x:f>
        <x:v>ON TRACK</x:v>
      </x:c>
    </x:row>
    <x:row r="15">
      <x:c r="A15" s="23" t="str">
        <x:v>EXECUTIVE COMMENTARY</x:v>
      </x:c>
      <x:c r="B15" s="23"/>
      <x:c r="C15" s="23"/>
      <x:c r="D15" s="23"/>
      <x:c r="E15" s="23"/>
      <x:c r="F15" s="23"/>
      <x:c r="H15" s="6" t="str">
        <x:v>TOP PRIORITIES</x:v>
      </x:c>
      <x:c r="I15" s="6" t="str">
        <x:v>Owner</x:v>
      </x:c>
      <x:c r="J15" s="6" t="str">
        <x:v>Due</x:v>
      </x:c>
      <x:c r="K15" s="6" t="str">
        <x:v>Status</x:v>
      </x:c>
      <x:c r="L15" s="6" t="str">
        <x:v>Management Response</x:v>
      </x:c>
    </x:row>
    <x:row r="16">
      <x:c r="A16" s="12" t="str">
        <x:v>WHAT HAPPENED: Modeled Week 12 exceeded all eight primary performance targets.
WHY: Budget reallocation toward high-intent channels, stronger qualification, CRO testing, and Sales SLA governance improved downstream economics.
WHAT WE ARE DOING: Sustain channel thresholds, refresh creative, validate attribution, and continue controlled experimentation.
DECISION NEEDED: Approve the next-quarter investment mix and transition to monthly portfolio governance.</x:v>
      </x:c>
      <x:c r="B16" s="12"/>
      <x:c r="C16" s="12"/>
      <x:c r="D16" s="12"/>
      <x:c r="E16" s="12"/>
      <x:c r="F16" s="12"/>
      <x:c r="H16" t="str">
        <x:v>Protect high-intent efficiency</x:v>
      </x:c>
      <x:c r="I16" t="str">
        <x:v>Performance Lead</x:v>
      </x:c>
      <x:c r="J16" t="str">
        <x:v>W13</x:v>
      </x:c>
      <x:c r="K16" t="str">
        <x:v>In Progress</x:v>
      </x:c>
      <x:c r="L16" t="str">
        <x:v>Monitor marginal ROAS and saturation</x:v>
      </x:c>
    </x:row>
    <x:row r="17">
      <x:c r="A17" s="12"/>
      <x:c r="B17" s="12"/>
      <x:c r="C17" s="12"/>
      <x:c r="D17" s="12"/>
      <x:c r="E17" s="12"/>
      <x:c r="F17" s="12"/>
      <x:c r="H17" t="str">
        <x:v>Sustain Sales SLA</x:v>
      </x:c>
      <x:c r="I17" t="str">
        <x:v>Revenue Ops</x:v>
      </x:c>
      <x:c r="J17" t="str">
        <x:v>W13</x:v>
      </x:c>
      <x:c r="K17" t="str">
        <x:v>In Progress</x:v>
      </x:c>
      <x:c r="L17" t="str">
        <x:v>Weekly exception review</x:v>
      </x:c>
    </x:row>
    <x:row r="18">
      <x:c r="A18" s="12"/>
      <x:c r="B18" s="12"/>
      <x:c r="C18" s="12"/>
      <x:c r="D18" s="12"/>
      <x:c r="E18" s="12"/>
      <x:c r="F18" s="12"/>
      <x:c r="H18" t="str">
        <x:v>Refresh creative</x:v>
      </x:c>
      <x:c r="I18" t="str">
        <x:v>Growth Lead</x:v>
      </x:c>
      <x:c r="J18" t="str">
        <x:v>W14</x:v>
      </x:c>
      <x:c r="K18" t="str">
        <x:v>In Progress</x:v>
      </x:c>
      <x:c r="L18" t="str">
        <x:v>Rotate fatigued concepts</x:v>
      </x:c>
    </x:row>
    <x:row r="19">
      <x:c r="A19" s="12"/>
      <x:c r="B19" s="12"/>
      <x:c r="C19" s="12"/>
      <x:c r="D19" s="12"/>
      <x:c r="E19" s="12"/>
      <x:c r="F19" s="12"/>
      <x:c r="H19" t="str">
        <x:v>Validate attribution</x:v>
      </x:c>
      <x:c r="I19" t="str">
        <x:v>Marketing Ops</x:v>
      </x:c>
      <x:c r="J19" t="str">
        <x:v>W14</x:v>
      </x:c>
      <x:c r="K19" t="str">
        <x:v>Planned</x:v>
      </x:c>
      <x:c r="L19" t="str">
        <x:v>CRM/spend/revenue reconciliation</x:v>
      </x:c>
    </x:row>
    <x:row r="20">
      <x:c r="A20" s="12"/>
      <x:c r="B20" s="12"/>
      <x:c r="C20" s="12"/>
      <x:c r="D20" s="12"/>
      <x:c r="E20" s="12"/>
      <x:c r="F20" s="12"/>
    </x:row>
  </x:sheetData>
  <x:mergeCells>
    <x:mergeCell ref="A1:L2"/>
    <x:mergeCell ref="A15:F15"/>
    <x:mergeCell ref="A16:F20"/>
  </x:mergeCells>
  <x:conditionalFormatting sqref="H5:H12">
    <x:cfRule type="expression" dxfId="0" priority="1">
      <x:formula>H5="ON TRACK"</x:formula>
    </x:cfRule>
    <x:cfRule type="expression" dxfId="1" priority="2">
      <x:formula>H5="AT RISK"</x:formula>
    </x:cfRule>
    <x:cfRule type="expression" dxfId="2" priority="3">
      <x:formula>H5="OFF TRACK"</x:formula>
    </x:cfRule>
  </x:conditionalFormatting>
  <x:conditionalFormatting sqref="F5:F12">
    <x:cfRule type="dataBar" priority="4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{E2B0229A-B8A0-18A0-91E7-8AEF68C0D762}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f1a7a91314c45e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2B0229A-B8A0-18A0-91E7-8AEF68C0D762}">
            <x14:dataBar gradient="1">
              <x14:cfvo type="min"/>
              <x14:cfvo type="max"/>
              <x14:fillColor rgb="FF4472C4"/>
            </x14:dataBar>
          </x14:cfRule>
          <xm:sqref>F5:F12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5.25" hidden="0" customWidth="1"/>
    <x:col min="3" max="3" width="7" hidden="0" customWidth="1"/>
    <x:col min="4" max="4" width="4.630000114440918" hidden="0" customWidth="1"/>
    <x:col min="5" max="5" width="4.75" hidden="0" customWidth="1"/>
    <x:col min="6" max="6" width="12" hidden="0" customWidth="1"/>
    <x:col min="7" max="7" width="11.130000114440918" hidden="0" customWidth="1"/>
    <x:col min="8" max="8" width="8.5" hidden="0" customWidth="1"/>
    <x:col min="9" max="9" width="14" hidden="0" customWidth="1"/>
    <x:col min="10" max="10" width="4.75" hidden="0" customWidth="1"/>
    <x:col min="11" max="11" width="7.75" hidden="0" customWidth="1"/>
    <x:col min="12" max="12" width="35.880001068115234" hidden="0" customWidth="1"/>
  </x:cols>
  <x:sheetData>
    <x:row r="1">
      <x:c r="A1" s="6" t="str">
        <x:v>Channel</x:v>
      </x:c>
      <x:c r="B1" s="12" t="str">
        <x:v>Spend</x:v>
      </x:c>
      <x:c r="C1" s="12" t="str">
        <x:v>Revenue</x:v>
      </x:c>
      <x:c r="D1" s="12" t="str">
        <x:v>ROAS</x:v>
      </x:c>
      <x:c r="E1" s="12" t="str">
        <x:v>Leads</x:v>
      </x:c>
      <x:c r="F1" s="12" t="str">
        <x:v>Qualified Leads</x:v>
      </x:c>
      <x:c r="G1" s="12" t="str">
        <x:v>Qualified Rate</x:v>
      </x:c>
      <x:c r="H1" s="12" t="str">
        <x:v>Customers</x:v>
      </x:c>
      <x:c r="I1" s="12" t="str">
        <x:v>Lead-to-Customer</x:v>
      </x:c>
      <x:c r="J1" s="12" t="str">
        <x:v>CPQL</x:v>
      </x:c>
      <x:c r="K1" s="12" t="str">
        <x:v>Decision</x:v>
      </x:c>
      <x:c r="L1" s="12" t="str">
        <x:v>Rationale</x:v>
      </x:c>
    </x:row>
    <x:row r="2">
      <x:c r="A2" s="12" t="str">
        <x:v>Paid Search</x:v>
      </x:c>
      <x:c r="B2" s="38" t="n">
        <x:v>42000</x:v>
      </x:c>
      <x:c r="C2" s="38" t="n">
        <x:v>172200</x:v>
      </x:c>
      <x:c r="D2" s="34" t="n">
        <x:v>4.1</x:v>
      </x:c>
      <x:c r="E2" s="12" t="n">
        <x:v>720</x:v>
      </x:c>
      <x:c r="F2" s="12" t="n">
        <x:v>430</x:v>
      </x:c>
      <x:c r="G2" s="32" t="n">
        <x:v>0.597</x:v>
      </x:c>
      <x:c r="H2" s="12" t="n">
        <x:v>105</x:v>
      </x:c>
      <x:c r="I2" s="32" t="n">
        <x:v>0.146</x:v>
      </x:c>
      <x:c r="J2" s="40" t="n">
        <x:v>97.67</x:v>
      </x:c>
      <x:c r="K2" s="12" t="str">
        <x:v>Scale</x:v>
      </x:c>
      <x:c r="L2" s="12" t="str">
        <x:v>High intent and strongest economics</x:v>
      </x:c>
    </x:row>
    <x:row r="3">
      <x:c r="A3" s="12" t="str">
        <x:v>Paid Social</x:v>
      </x:c>
      <x:c r="B3" s="38" t="n">
        <x:v>30000</x:v>
      </x:c>
      <x:c r="C3" s="38" t="n">
        <x:v>87000</x:v>
      </x:c>
      <x:c r="D3" s="34" t="n">
        <x:v>2.9</x:v>
      </x:c>
      <x:c r="E3" s="12" t="n">
        <x:v>760</x:v>
      </x:c>
      <x:c r="F3" s="12" t="n">
        <x:v>390</x:v>
      </x:c>
      <x:c r="G3" s="32" t="n">
        <x:v>0.513</x:v>
      </x:c>
      <x:c r="H3" s="12" t="n">
        <x:v>72</x:v>
      </x:c>
      <x:c r="I3" s="32" t="n">
        <x:v>0.095</x:v>
      </x:c>
      <x:c r="J3" s="40" t="n">
        <x:v>76.92</x:v>
      </x:c>
      <x:c r="K3" s="12" t="str">
        <x:v>Optimize</x:v>
      </x:c>
      <x:c r="L3" s="12" t="str">
        <x:v>Good scale; improve downstream conversion</x:v>
      </x:c>
    </x:row>
    <x:row r="4">
      <x:c r="A4" s="12" t="str">
        <x:v>Display</x:v>
      </x:c>
      <x:c r="B4" s="38" t="n">
        <x:v>12000</x:v>
      </x:c>
      <x:c r="C4" s="38" t="n">
        <x:v>20400</x:v>
      </x:c>
      <x:c r="D4" s="34" t="n">
        <x:v>1.7</x:v>
      </x:c>
      <x:c r="E4" s="12" t="n">
        <x:v>410</x:v>
      </x:c>
      <x:c r="F4" s="12" t="n">
        <x:v>145</x:v>
      </x:c>
      <x:c r="G4" s="32" t="n">
        <x:v>0.354</x:v>
      </x:c>
      <x:c r="H4" s="12" t="n">
        <x:v>19</x:v>
      </x:c>
      <x:c r="I4" s="32" t="n">
        <x:v>0.046</x:v>
      </x:c>
      <x:c r="J4" s="40" t="n">
        <x:v>82.76</x:v>
      </x:c>
      <x:c r="K4" s="12" t="str">
        <x:v>Reduce</x:v>
      </x:c>
      <x:c r="L4" s="12" t="str">
        <x:v>Low quality and weak customer conversion</x:v>
      </x:c>
    </x:row>
    <x:row r="5">
      <x:c r="A5" s="12" t="str">
        <x:v>Video</x:v>
      </x:c>
      <x:c r="B5" s="38" t="n">
        <x:v>14000</x:v>
      </x:c>
      <x:c r="C5" s="38" t="n">
        <x:v>33600</x:v>
      </x:c>
      <x:c r="D5" s="34" t="n">
        <x:v>2.4</x:v>
      </x:c>
      <x:c r="E5" s="12" t="n">
        <x:v>330</x:v>
      </x:c>
      <x:c r="F5" s="12" t="n">
        <x:v>155</x:v>
      </x:c>
      <x:c r="G5" s="32" t="n">
        <x:v>0.47</x:v>
      </x:c>
      <x:c r="H5" s="12" t="n">
        <x:v>25</x:v>
      </x:c>
      <x:c r="I5" s="32" t="n">
        <x:v>0.076</x:v>
      </x:c>
      <x:c r="J5" s="40" t="n">
        <x:v>90.32</x:v>
      </x:c>
      <x:c r="K5" s="12" t="str">
        <x:v>Test/Hold</x:v>
      </x:c>
      <x:c r="L5" s="12" t="str">
        <x:v>Promising assisted demand; validate attribution</x:v>
      </x:c>
    </x:row>
    <x:row r="6">
      <x:c r="A6" s="12" t="str">
        <x:v>Email/Nurture</x:v>
      </x:c>
      <x:c r="B6" s="38" t="n">
        <x:v>10000</x:v>
      </x:c>
      <x:c r="C6" s="38" t="n">
        <x:v>47000</x:v>
      </x:c>
      <x:c r="D6" s="34" t="n">
        <x:v>4.7</x:v>
      </x:c>
      <x:c r="E6" s="12" t="n">
        <x:v>300</x:v>
      </x:c>
      <x:c r="F6" s="12" t="n">
        <x:v>190</x:v>
      </x:c>
      <x:c r="G6" s="32" t="n">
        <x:v>0.633</x:v>
      </x:c>
      <x:c r="H6" s="12" t="n">
        <x:v>56</x:v>
      </x:c>
      <x:c r="I6" s="32" t="n">
        <x:v>0.187</x:v>
      </x:c>
      <x:c r="J6" s="40" t="n">
        <x:v>52.63</x:v>
      </x:c>
      <x:c r="K6" s="12" t="str">
        <x:v>Scale</x:v>
      </x:c>
      <x:c r="L6" s="12" t="str">
        <x:v>Efficient owned demand</x:v>
      </x:c>
    </x:row>
    <x:row r="7">
      <x:c r="A7" s="12" t="str">
        <x:v>Content/Syndication</x:v>
      </x:c>
      <x:c r="B7" s="38" t="n">
        <x:v>20000</x:v>
      </x:c>
      <x:c r="C7" s="38" t="n">
        <x:v>59640</x:v>
      </x:c>
      <x:c r="D7" s="34" t="n">
        <x:v>2.98</x:v>
      </x:c>
      <x:c r="E7" s="12" t="n">
        <x:v>480</x:v>
      </x:c>
      <x:c r="F7" s="12" t="n">
        <x:v>270</x:v>
      </x:c>
      <x:c r="G7" s="32" t="n">
        <x:v>0.563</x:v>
      </x:c>
      <x:c r="H7" s="12" t="n">
        <x:v>61</x:v>
      </x:c>
      <x:c r="I7" s="32" t="n">
        <x:v>0.127</x:v>
      </x:c>
      <x:c r="J7" s="40" t="n">
        <x:v>74.07</x:v>
      </x:c>
      <x:c r="K7" s="12" t="str">
        <x:v>Optimize</x:v>
      </x:c>
      <x:c r="L7" s="12" t="str">
        <x:v>Strong quality; improve cost efficiency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11.880000114440918" hidden="0" customWidth="1"/>
    <x:col min="3" max="3" width="17.5" hidden="0" customWidth="1"/>
    <x:col min="4" max="4" width="7.5" hidden="0" customWidth="1"/>
    <x:col min="5" max="5" width="10.880000114440918" hidden="0" customWidth="1"/>
    <x:col min="6" max="6" width="11.380000114440918" hidden="0" customWidth="1"/>
    <x:col min="7" max="7" width="22.6299991607666" hidden="0" customWidth="1"/>
    <x:col min="8" max="8" width="7.75" hidden="0" customWidth="1"/>
  </x:cols>
  <x:sheetData>
    <x:row r="1">
      <x:c r="A1" s="6" t="str">
        <x:v>Channel</x:v>
      </x:c>
      <x:c r="B1" s="12" t="str">
        <x:v>Current Budget</x:v>
      </x:c>
      <x:c r="C1" s="12" t="str">
        <x:v>Recommended Budget</x:v>
      </x:c>
      <x:c r="D1" s="12" t="str">
        <x:v>Change $</x:v>
      </x:c>
      <x:c r="E1" s="12" t="str">
        <x:v>Change %</x:v>
      </x:c>
      <x:c r="F1" s="12" t="str">
        <x:v>Decision</x:v>
      </x:c>
      <x:c r="G1" s="12" t="str">
        <x:v>Guardrail</x:v>
      </x:c>
      <x:c r="H1" s="12" t="str">
        <x:v>Approval</x:v>
      </x:c>
    </x:row>
    <x:row r="2">
      <x:c r="A2" s="12" t="str">
        <x:v>Paid Search</x:v>
      </x:c>
      <x:c r="B2" s="38" t="n">
        <x:v>42000</x:v>
      </x:c>
      <x:c r="C2" s="38" t="n">
        <x:v>47000</x:v>
      </x:c>
      <x:c r="D2" s="38" t="n">
        <x:f>C2-B2</x:f>
        <x:v>5000</x:v>
      </x:c>
      <x:c r="E2" s="32" t="n">
        <x:f>D2/B2</x:f>
        <x:v>0.11904761904761904</x:v>
      </x:c>
      <x:c r="F2" s="12" t="str">
        <x:v>Increase</x:v>
      </x:c>
      <x:c r="G2" s="12" t="str">
        <x:v>Marginal ROAS &gt;=3.2x</x:v>
      </x:c>
      <x:c r="H2" s="12" t="str">
        <x:v>Approved</x:v>
      </x:c>
    </x:row>
    <x:row r="3">
      <x:c r="A3" s="12" t="str">
        <x:v>Paid Social</x:v>
      </x:c>
      <x:c r="B3" s="38" t="n">
        <x:v>30000</x:v>
      </x:c>
      <x:c r="C3" s="38" t="n">
        <x:v>30000</x:v>
      </x:c>
      <x:c r="D3" s="38" t="n">
        <x:f>C3-B3</x:f>
        <x:v>0</x:v>
      </x:c>
      <x:c r="E3" s="32" t="n">
        <x:f>D3/B3</x:f>
        <x:v>0</x:v>
      </x:c>
      <x:c r="F3" s="12" t="str">
        <x:v>Hold/Optimize</x:v>
      </x:c>
      <x:c r="G3" s="12" t="str">
        <x:v>Qualified rate &gt;=50%</x:v>
      </x:c>
      <x:c r="H3" s="12" t="str">
        <x:v>Approved</x:v>
      </x:c>
    </x:row>
    <x:row r="4">
      <x:c r="A4" s="12" t="str">
        <x:v>Display</x:v>
      </x:c>
      <x:c r="B4" s="38" t="n">
        <x:v>12000</x:v>
      </x:c>
      <x:c r="C4" s="38" t="n">
        <x:v>7000</x:v>
      </x:c>
      <x:c r="D4" s="38" t="n">
        <x:f>C4-B4</x:f>
        <x:v>-5000</x:v>
      </x:c>
      <x:c r="E4" s="32" t="n">
        <x:f>D4/B4</x:f>
        <x:v>-0.4166666666666667</x:v>
      </x:c>
      <x:c r="F4" s="12" t="str">
        <x:v>Reduce</x:v>
      </x:c>
      <x:c r="G4" s="12" t="str">
        <x:v>Do not cut retargeting control</x:v>
      </x:c>
      <x:c r="H4" s="12" t="str">
        <x:v>Approved</x:v>
      </x:c>
    </x:row>
    <x:row r="5">
      <x:c r="A5" s="12" t="str">
        <x:v>Video</x:v>
      </x:c>
      <x:c r="B5" s="38" t="n">
        <x:v>14000</x:v>
      </x:c>
      <x:c r="C5" s="38" t="n">
        <x:v>14000</x:v>
      </x:c>
      <x:c r="D5" s="38" t="n">
        <x:f>C5-B5</x:f>
        <x:v>0</x:v>
      </x:c>
      <x:c r="E5" s="32" t="n">
        <x:f>D5/B5</x:f>
        <x:v>0</x:v>
      </x:c>
      <x:c r="F5" s="12" t="str">
        <x:v>Hold/Test</x:v>
      </x:c>
      <x:c r="G5" s="12" t="str">
        <x:v>Attribution confidence</x:v>
      </x:c>
      <x:c r="H5" s="12" t="str">
        <x:v>Approved</x:v>
      </x:c>
    </x:row>
    <x:row r="6">
      <x:c r="A6" s="12" t="str">
        <x:v>Email/Nurture</x:v>
      </x:c>
      <x:c r="B6" s="38" t="n">
        <x:v>10000</x:v>
      </x:c>
      <x:c r="C6" s="38" t="n">
        <x:v>12000</x:v>
      </x:c>
      <x:c r="D6" s="38" t="n">
        <x:f>C6-B6</x:f>
        <x:v>2000</x:v>
      </x:c>
      <x:c r="E6" s="32" t="n">
        <x:f>D6/B6</x:f>
        <x:v>0.2</x:v>
      </x:c>
      <x:c r="F6" s="12" t="str">
        <x:v>Increase</x:v>
      </x:c>
      <x:c r="G6" s="12" t="str">
        <x:v>Frequency/unsubscribe</x:v>
      </x:c>
      <x:c r="H6" s="12" t="str">
        <x:v>Approved</x:v>
      </x:c>
    </x:row>
    <x:row r="7">
      <x:c r="A7" s="12" t="str">
        <x:v>Content/Syndication</x:v>
      </x:c>
      <x:c r="B7" s="38" t="n">
        <x:v>20000</x:v>
      </x:c>
      <x:c r="C7" s="38" t="n">
        <x:v>18000</x:v>
      </x:c>
      <x:c r="D7" s="38" t="n">
        <x:f>C7-B7</x:f>
        <x:v>-2000</x:v>
      </x:c>
      <x:c r="E7" s="32" t="n">
        <x:f>D7/B7</x:f>
        <x:v>-0.1</x:v>
      </x:c>
      <x:c r="F7" s="12" t="str">
        <x:v>Optimize</x:v>
      </x:c>
      <x:c r="G7" s="12" t="str">
        <x:v>CPQL &lt;=$125</x:v>
      </x:c>
      <x:c r="H7" s="12" t="str">
        <x:v>Approved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6.25" hidden="0" customWidth="1"/>
    <x:col min="3" max="3" width="8" hidden="0" customWidth="1"/>
    <x:col min="4" max="4" width="10.25" hidden="0" customWidth="1"/>
    <x:col min="5" max="5" width="8.630000114440918" hidden="0" customWidth="1"/>
    <x:col min="6" max="6" width="4.75" hidden="0" customWidth="1"/>
    <x:col min="7" max="7" width="20.75" hidden="0" customWidth="1"/>
  </x:cols>
  <x:sheetData>
    <x:row r="1">
      <x:c r="A1" s="6" t="str">
        <x:v>Stage</x:v>
      </x:c>
      <x:c r="B1" s="12" t="str">
        <x:v>Volume</x:v>
      </x:c>
      <x:c r="C1" s="12" t="str">
        <x:v>Stage CVR</x:v>
      </x:c>
      <x:c r="D1" s="12" t="str">
        <x:v>Baseline CVR</x:v>
      </x:c>
      <x:c r="E1" s="12" t="str">
        <x:v>Target CVR</x:v>
      </x:c>
      <x:c r="F1" s="12" t="str">
        <x:v>Gap</x:v>
      </x:c>
      <x:c r="G1" s="12" t="str">
        <x:v>Primary Lever</x:v>
      </x:c>
    </x:row>
    <x:row r="2">
      <x:c r="A2" s="12" t="str">
        <x:v>Landing Sessions</x:v>
      </x:c>
      <x:c r="B2" s="12" t="n">
        <x:v>25000</x:v>
      </x:c>
      <x:c r="C2" s="12" t="n">
        <x:v>1</x:v>
      </x:c>
      <x:c r="D2" s="12" t="n">
        <x:v>1</x:v>
      </x:c>
      <x:c r="E2" s="12" t="n">
        <x:v>1</x:v>
      </x:c>
      <x:c r="F2" s="12" t="n">
        <x:v>0</x:v>
      </x:c>
      <x:c r="G2" s="12" t="str">
        <x:v>Traffic quality</x:v>
      </x:c>
    </x:row>
    <x:row r="3">
      <x:c r="A3" s="12" t="str">
        <x:v>Leads</x:v>
      </x:c>
      <x:c r="B3" s="12" t="n">
        <x:v>1575</x:v>
      </x:c>
      <x:c r="C3" s="12" t="n">
        <x:v>0.063</x:v>
      </x:c>
      <x:c r="D3" s="12" t="n">
        <x:v>0.041</x:v>
      </x:c>
      <x:c r="E3" s="12" t="n">
        <x:v>0.06</x:v>
      </x:c>
      <x:c r="F3" s="12" t="n">
        <x:f>C3-E3</x:f>
        <x:v>0.0030000000000000027</x:v>
      </x:c>
      <x:c r="G3" s="12" t="str">
        <x:v>Landing page / offer</x:v>
      </x:c>
    </x:row>
    <x:row r="4">
      <x:c r="A4" s="12" t="str">
        <x:v>Qualified Leads</x:v>
      </x:c>
      <x:c r="B4" s="12" t="n">
        <x:v>898</x:v>
      </x:c>
      <x:c r="C4" s="12" t="n">
        <x:v>0.57</x:v>
      </x:c>
      <x:c r="D4" s="12" t="n">
        <x:v>0.38</x:v>
      </x:c>
      <x:c r="E4" s="12" t="n">
        <x:v>0.55</x:v>
      </x:c>
      <x:c r="F4" s="12" t="n">
        <x:f>C4-E4</x:f>
        <x:v>0.019999999999999907</x:v>
      </x:c>
      <x:c r="G4" s="12" t="str">
        <x:v>Targeting + qualification</x:v>
      </x:c>
    </x:row>
    <x:row r="5">
      <x:c r="A5" s="12" t="str">
        <x:v>Opportunities</x:v>
      </x:c>
      <x:c r="B5" s="12" t="n">
        <x:v>350</x:v>
      </x:c>
      <x:c r="C5" s="12" t="n">
        <x:v>0.39</x:v>
      </x:c>
      <x:c r="D5" s="12" t="n">
        <x:v>0.31</x:v>
      </x:c>
      <x:c r="E5" s="12" t="n">
        <x:v>0.38</x:v>
      </x:c>
      <x:c r="F5" s="12" t="n">
        <x:f>C5-E5</x:f>
        <x:v>0.010000000000000009</x:v>
      </x:c>
      <x:c r="G5" s="12" t="str">
        <x:v>Nurture + Sales acceptance</x:v>
      </x:c>
    </x:row>
    <x:row r="6">
      <x:c r="A6" s="12" t="str">
        <x:v>Customers</x:v>
      </x:c>
      <x:c r="B6" s="12" t="n">
        <x:v>198</x:v>
      </x:c>
      <x:c r="C6" s="12" t="n">
        <x:v>0.566</x:v>
      </x:c>
      <x:c r="D6" s="12" t="n">
        <x:v>0.48</x:v>
      </x:c>
      <x:c r="E6" s="12" t="n">
        <x:v>0.55</x:v>
      </x:c>
      <x:c r="F6" s="12" t="n">
        <x:f>C6-E6</x:f>
        <x:v>0.015999999999999903</x:v>
      </x:c>
      <x:c r="G6" s="12" t="str">
        <x:v>Sales execution</x:v>
      </x:c>
    </x:row>
    <x:row r="7">
      <x:c r="A7" s="12" t="str">
        <x:v>Revenue</x:v>
      </x:c>
      <x:c r="B7" s="12" t="n">
        <x:v>419840</x:v>
      </x:c>
      <x:c r="C7" s="12"/>
      <x:c r="D7" s="12"/>
      <x:c r="E7" s="12"/>
      <x:c r="F7" s="12"/>
      <x:c r="G7" s="12" t="str">
        <x:v>Mix + conversion + value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11" hidden="0" customWidth="1"/>
    <x:col min="3" max="3" width="31.75" hidden="0" customWidth="1"/>
    <x:col min="4" max="4" width="15.25" hidden="0" customWidth="1"/>
    <x:col min="5" max="5" width="4.130000114440918" hidden="0" customWidth="1"/>
    <x:col min="6" max="6" width="4" hidden="0" customWidth="1"/>
    <x:col min="7" max="7" width="6.880000114440918" hidden="0" customWidth="1"/>
    <x:col min="8" max="8" width="9.880000114440918" hidden="0" customWidth="1"/>
    <x:col min="9" max="9" width="8.75" hidden="0" customWidth="1"/>
    <x:col min="10" max="10" width="14.5" hidden="0" customWidth="1"/>
  </x:cols>
  <x:sheetData>
    <x:row r="1">
      <x:c r="A1" s="6" t="str">
        <x:v>ID</x:v>
      </x:c>
      <x:c r="B1" s="12" t="str">
        <x:v>Workstream</x:v>
      </x:c>
      <x:c r="C1" s="12" t="str">
        <x:v>Action</x:v>
      </x:c>
      <x:c r="D1" s="12" t="str">
        <x:v>Owner</x:v>
      </x:c>
      <x:c r="E1" s="12" t="str">
        <x:v>Start</x:v>
      </x:c>
      <x:c r="F1" s="12" t="str">
        <x:v>Due</x:v>
      </x:c>
      <x:c r="G1" s="12" t="str">
        <x:v>Priority</x:v>
      </x:c>
      <x:c r="H1" s="12" t="str">
        <x:v>Dependency</x:v>
      </x:c>
      <x:c r="I1" s="12" t="str">
        <x:v>Status</x:v>
      </x:c>
      <x:c r="J1" s="12" t="str">
        <x:v>Evidence</x:v>
      </x:c>
    </x:row>
    <x:row r="2">
      <x:c r="A2" s="12" t="str">
        <x:v>A01</x:v>
      </x:c>
      <x:c r="B2" s="12" t="str">
        <x:v>Measurement</x:v>
      </x:c>
      <x:c r="C2" s="12" t="str">
        <x:v>Standardize taxonomy and attribution QA</x:v>
      </x:c>
      <x:c r="D2" s="12" t="str">
        <x:v>Marketing Ops</x:v>
      </x:c>
      <x:c r="E2" s="12" t="str">
        <x:v>W1</x:v>
      </x:c>
      <x:c r="F2" s="12" t="str">
        <x:v>W3</x:v>
      </x:c>
      <x:c r="G2" s="12" t="str">
        <x:v>High</x:v>
      </x:c>
      <x:c r="H2" s="12" t="str"/>
      <x:c r="I2" s="12" t="str">
        <x:v>Complete</x:v>
      </x:c>
      <x:c r="J2" s="12" t="str">
        <x:v>QA checklist</x:v>
      </x:c>
    </x:row>
    <x:row r="3">
      <x:c r="A3" s="12" t="str">
        <x:v>A02</x:v>
      </x:c>
      <x:c r="B3" s="12" t="str">
        <x:v>Budget</x:v>
      </x:c>
      <x:c r="C3" s="12" t="str">
        <x:v>Reallocate from low-quality channels</x:v>
      </x:c>
      <x:c r="D3" s="12" t="str">
        <x:v>Marketing Manager</x:v>
      </x:c>
      <x:c r="E3" s="12" t="str">
        <x:v>W3</x:v>
      </x:c>
      <x:c r="F3" s="12" t="str">
        <x:v>W6</x:v>
      </x:c>
      <x:c r="G3" s="12" t="str">
        <x:v>High</x:v>
      </x:c>
      <x:c r="H3" s="12" t="str">
        <x:v>A01</x:v>
      </x:c>
      <x:c r="I3" s="12" t="str">
        <x:v>Complete</x:v>
      </x:c>
      <x:c r="J3" s="12" t="str">
        <x:v>Budget log</x:v>
      </x:c>
    </x:row>
    <x:row r="4">
      <x:c r="A4" s="12" t="str">
        <x:v>A03</x:v>
      </x:c>
      <x:c r="B4" s="12" t="str">
        <x:v>CRO</x:v>
      </x:c>
      <x:c r="C4" s="12" t="str">
        <x:v>Test landing page/message improvements</x:v>
      </x:c>
      <x:c r="D4" s="12" t="str">
        <x:v>Growth Lead</x:v>
      </x:c>
      <x:c r="E4" s="12" t="str">
        <x:v>W3</x:v>
      </x:c>
      <x:c r="F4" s="12" t="str">
        <x:v>W9</x:v>
      </x:c>
      <x:c r="G4" s="12" t="str">
        <x:v>High</x:v>
      </x:c>
      <x:c r="H4" s="12" t="str">
        <x:v>A01</x:v>
      </x:c>
      <x:c r="I4" s="12" t="str">
        <x:v>Complete</x:v>
      </x:c>
      <x:c r="J4" s="12" t="str">
        <x:v>Experiment results</x:v>
      </x:c>
    </x:row>
    <x:row r="5">
      <x:c r="A5" s="12" t="str">
        <x:v>A04</x:v>
      </x:c>
      <x:c r="B5" s="12" t="str">
        <x:v>Lead Quality</x:v>
      </x:c>
      <x:c r="C5" s="12" t="str">
        <x:v>Tighten qualification and routing</x:v>
      </x:c>
      <x:c r="D5" s="12" t="str">
        <x:v>Revenue Ops</x:v>
      </x:c>
      <x:c r="E5" s="12" t="str">
        <x:v>W4</x:v>
      </x:c>
      <x:c r="F5" s="12" t="str">
        <x:v>W7</x:v>
      </x:c>
      <x:c r="G5" s="12" t="str">
        <x:v>High</x:v>
      </x:c>
      <x:c r="H5" s="12" t="str">
        <x:v>A01</x:v>
      </x:c>
      <x:c r="I5" s="12" t="str">
        <x:v>Complete</x:v>
      </x:c>
      <x:c r="J5" s="12" t="str">
        <x:v>Lead audit</x:v>
      </x:c>
    </x:row>
    <x:row r="6">
      <x:c r="A6" s="12" t="str">
        <x:v>A05</x:v>
      </x:c>
      <x:c r="B6" s="12" t="str">
        <x:v>Sales SLA</x:v>
      </x:c>
      <x:c r="C6" s="12" t="str">
        <x:v>Launch follow-up SLA governance</x:v>
      </x:c>
      <x:c r="D6" s="12" t="str">
        <x:v>Sales Ops</x:v>
      </x:c>
      <x:c r="E6" s="12" t="str">
        <x:v>W4</x:v>
      </x:c>
      <x:c r="F6" s="12" t="str">
        <x:v>W8</x:v>
      </x:c>
      <x:c r="G6" s="12" t="str">
        <x:v>High</x:v>
      </x:c>
      <x:c r="H6" s="12" t="str">
        <x:v>A04</x:v>
      </x:c>
      <x:c r="I6" s="12" t="str">
        <x:v>Complete</x:v>
      </x:c>
      <x:c r="J6" s="12" t="str">
        <x:v>SLA report</x:v>
      </x:c>
    </x:row>
    <x:row r="7">
      <x:c r="A7" s="12" t="str">
        <x:v>A06</x:v>
      </x:c>
      <x:c r="B7" s="12" t="str">
        <x:v>Creative</x:v>
      </x:c>
      <x:c r="C7" s="12" t="str">
        <x:v>Implement fatigue monitoring</x:v>
      </x:c>
      <x:c r="D7" s="12" t="str">
        <x:v>Creative Lead</x:v>
      </x:c>
      <x:c r="E7" s="12" t="str">
        <x:v>W5</x:v>
      </x:c>
      <x:c r="F7" s="12" t="str">
        <x:v>W10</x:v>
      </x:c>
      <x:c r="G7" s="12" t="str">
        <x:v>Medium</x:v>
      </x:c>
      <x:c r="H7" s="12" t="str">
        <x:v>A01</x:v>
      </x:c>
      <x:c r="I7" s="12" t="str">
        <x:v>Complete</x:v>
      </x:c>
      <x:c r="J7" s="12" t="str">
        <x:v>Creative scorecard</x:v>
      </x:c>
    </x:row>
    <x:row r="8">
      <x:c r="A8" s="12" t="str">
        <x:v>A07</x:v>
      </x:c>
      <x:c r="B8" s="12" t="str">
        <x:v>Governance</x:v>
      </x:c>
      <x:c r="C8" s="12" t="str">
        <x:v>Run weekly investment review</x:v>
      </x:c>
      <x:c r="D8" s="12" t="str">
        <x:v>Marketing Manager</x:v>
      </x:c>
      <x:c r="E8" s="12" t="str">
        <x:v>W3</x:v>
      </x:c>
      <x:c r="F8" s="12" t="str">
        <x:v>W12</x:v>
      </x:c>
      <x:c r="G8" s="12" t="str">
        <x:v>High</x:v>
      </x:c>
      <x:c r="H8" s="12" t="str">
        <x:v>A01-A06</x:v>
      </x:c>
      <x:c r="I8" s="12" t="str">
        <x:v>In Progress</x:v>
      </x:c>
      <x:c r="J8" s="12" t="str">
        <x:v>WBR</x:v>
      </x:c>
    </x:row>
    <x:row r="9">
      <x:c r="A9" s="12" t="str">
        <x:v>A08</x:v>
      </x:c>
      <x:c r="B9" s="12" t="str">
        <x:v>Sustainment</x:v>
      </x:c>
      <x:c r="C9" s="12" t="str">
        <x:v>Transfer controls to BAU</x:v>
      </x:c>
      <x:c r="D9" s="12" t="str">
        <x:v>Marketing Ops</x:v>
      </x:c>
      <x:c r="E9" s="12" t="str">
        <x:v>W11</x:v>
      </x:c>
      <x:c r="F9" s="12" t="str">
        <x:v>W14</x:v>
      </x:c>
      <x:c r="G9" s="12" t="str">
        <x:v>Medium</x:v>
      </x:c>
      <x:c r="H9" s="12" t="str">
        <x:v>A07</x:v>
      </x:c>
      <x:c r="I9" s="12" t="str">
        <x:v>Planned</x:v>
      </x:c>
      <x:c r="J9" s="12" t="str">
        <x:v>Handoff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18.25" hidden="0" customWidth="1"/>
    <x:col min="3" max="3" width="8.130000114440918" hidden="0" customWidth="1"/>
    <x:col min="4" max="4" width="5.75" hidden="0" customWidth="1"/>
    <x:col min="5" max="5" width="4.630000114440918" hidden="0" customWidth="1"/>
    <x:col min="6" max="6" width="14.130000114440918" hidden="0" customWidth="1"/>
    <x:col min="7" max="7" width="20.6299991607666" hidden="0" customWidth="1"/>
    <x:col min="8" max="8" width="18.25" hidden="0" customWidth="1"/>
    <x:col min="9" max="9" width="8.380000114440918" hidden="0" customWidth="1"/>
    <x:col min="10" max="10" width="15.5" hidden="0" customWidth="1"/>
  </x:cols>
  <x:sheetData>
    <x:row r="1">
      <x:c r="A1" s="6" t="str">
        <x:v>ID</x:v>
      </x:c>
      <x:c r="B1" s="12" t="str">
        <x:v>Risk</x:v>
      </x:c>
      <x:c r="C1" s="12" t="str">
        <x:v>Likelihood</x:v>
      </x:c>
      <x:c r="D1" s="12" t="str">
        <x:v>Impact</x:v>
      </x:c>
      <x:c r="E1" s="12" t="str">
        <x:v>Score</x:v>
      </x:c>
      <x:c r="F1" s="12" t="str">
        <x:v>Owner</x:v>
      </x:c>
      <x:c r="G1" s="12" t="str">
        <x:v>Mitigation</x:v>
      </x:c>
      <x:c r="H1" s="12" t="str">
        <x:v>Trigger</x:v>
      </x:c>
      <x:c r="I1" s="12" t="str">
        <x:v>Status</x:v>
      </x:c>
      <x:c r="J1" s="12" t="str">
        <x:v>Escalation</x:v>
      </x:c>
    </x:row>
    <x:row r="2">
      <x:c r="A2" s="12" t="str">
        <x:v>R01</x:v>
      </x:c>
      <x:c r="B2" s="12" t="str">
        <x:v>Attribution error</x:v>
      </x:c>
      <x:c r="C2" s="12" t="n">
        <x:v>3</x:v>
      </x:c>
      <x:c r="D2" s="12" t="n">
        <x:v>5</x:v>
      </x:c>
      <x:c r="E2" s="12" t="n">
        <x:f>C2*D2</x:f>
        <x:v>15</x:v>
      </x:c>
      <x:c r="F2" s="12" t="str">
        <x:v>Marketing Ops</x:v>
      </x:c>
      <x:c r="G2" s="12" t="str">
        <x:v>Weekly reconciliation</x:v>
      </x:c>
      <x:c r="H2" s="12" t="str">
        <x:v>Revenue mismatch &gt;5%</x:v>
      </x:c>
      <x:c r="I2" s="12" t="str">
        <x:v>Controlled</x:v>
      </x:c>
      <x:c r="J2" s="12" t="str">
        <x:v>VP Marketing</x:v>
      </x:c>
    </x:row>
    <x:row r="3">
      <x:c r="A3" s="12" t="str">
        <x:v>R02</x:v>
      </x:c>
      <x:c r="B3" s="12" t="str">
        <x:v>Overspend</x:v>
      </x:c>
      <x:c r="C3" s="12" t="n">
        <x:v>2</x:v>
      </x:c>
      <x:c r="D3" s="12" t="n">
        <x:v>5</x:v>
      </x:c>
      <x:c r="E3" s="12" t="n">
        <x:f>C3*D3</x:f>
        <x:v>10</x:v>
      </x:c>
      <x:c r="F3" s="12" t="str">
        <x:v>Performance Lead</x:v>
      </x:c>
      <x:c r="G3" s="12" t="str">
        <x:v>Pacing alerts</x:v>
      </x:c>
      <x:c r="H3" s="12" t="str">
        <x:v>Spend &gt;105% plan</x:v>
      </x:c>
      <x:c r="I3" s="12" t="str">
        <x:v>Controlled</x:v>
      </x:c>
      <x:c r="J3" s="12" t="str">
        <x:v>Marketing Manager</x:v>
      </x:c>
    </x:row>
    <x:row r="4">
      <x:c r="A4" s="12" t="str">
        <x:v>R03</x:v>
      </x:c>
      <x:c r="B4" s="12" t="str">
        <x:v>Low-quality lead scaling</x:v>
      </x:c>
      <x:c r="C4" s="12" t="n">
        <x:v>3</x:v>
      </x:c>
      <x:c r="D4" s="12" t="n">
        <x:v>5</x:v>
      </x:c>
      <x:c r="E4" s="12" t="n">
        <x:f>C4*D4</x:f>
        <x:v>15</x:v>
      </x:c>
      <x:c r="F4" s="12" t="str">
        <x:v>Demand Gen</x:v>
      </x:c>
      <x:c r="G4" s="12" t="str">
        <x:v>Qualified-rate guardrail</x:v>
      </x:c>
      <x:c r="H4" s="12" t="str">
        <x:v>Qualified rate &lt;45%</x:v>
      </x:c>
      <x:c r="I4" s="12" t="str">
        <x:v>Controlled</x:v>
      </x:c>
      <x:c r="J4" s="12" t="str">
        <x:v>Revenue Ops</x:v>
      </x:c>
    </x:row>
    <x:row r="5">
      <x:c r="A5" s="12" t="str">
        <x:v>R04</x:v>
      </x:c>
      <x:c r="B5" s="12" t="str">
        <x:v>Creative fatigue</x:v>
      </x:c>
      <x:c r="C5" s="12" t="n">
        <x:v>3</x:v>
      </x:c>
      <x:c r="D5" s="12" t="n">
        <x:v>3</x:v>
      </x:c>
      <x:c r="E5" s="12" t="n">
        <x:f>C5*D5</x:f>
        <x:v>9</x:v>
      </x:c>
      <x:c r="F5" s="12" t="str">
        <x:v>Creative Lead</x:v>
      </x:c>
      <x:c r="G5" s="12" t="str">
        <x:v>Frequency/CTR monitoring</x:v>
      </x:c>
      <x:c r="H5" s="12" t="str">
        <x:v>CTR declines 20%</x:v>
      </x:c>
      <x:c r="I5" s="12" t="str">
        <x:v>Controlled</x:v>
      </x:c>
      <x:c r="J5" s="12" t="str">
        <x:v>Marketing Manager</x:v>
      </x:c>
    </x:row>
    <x:row r="6">
      <x:c r="A6" s="12" t="str">
        <x:v>R05</x:v>
      </x:c>
      <x:c r="B6" s="12" t="str">
        <x:v>Sales SLA failure</x:v>
      </x:c>
      <x:c r="C6" s="12" t="n">
        <x:v>3</x:v>
      </x:c>
      <x:c r="D6" s="12" t="n">
        <x:v>4</x:v>
      </x:c>
      <x:c r="E6" s="12" t="n">
        <x:f>C6*D6</x:f>
        <x:v>12</x:v>
      </x:c>
      <x:c r="F6" s="12" t="str">
        <x:v>Sales Ops</x:v>
      </x:c>
      <x:c r="G6" s="12" t="str">
        <x:v>Exception review</x:v>
      </x:c>
      <x:c r="H6" s="12" t="str">
        <x:v>SLA &lt;85%</x:v>
      </x:c>
      <x:c r="I6" s="12" t="str">
        <x:v>Controlled</x:v>
      </x:c>
      <x:c r="J6" s="12" t="str">
        <x:v>Sales leader</x:v>
      </x:c>
    </x:row>
    <x:row r="7">
      <x:c r="A7" s="12" t="str">
        <x:v>R06</x:v>
      </x:c>
      <x:c r="B7" s="12" t="str">
        <x:v>Tracking outage</x:v>
      </x:c>
      <x:c r="C7" s="12" t="n">
        <x:v>2</x:v>
      </x:c>
      <x:c r="D7" s="12" t="n">
        <x:v>5</x:v>
      </x:c>
      <x:c r="E7" s="12" t="n">
        <x:f>C7*D7</x:f>
        <x:v>10</x:v>
      </x:c>
      <x:c r="F7" s="12" t="str">
        <x:v>Marketing Ops</x:v>
      </x:c>
      <x:c r="G7" s="12" t="str">
        <x:v>Tag QA + alerting</x:v>
      </x:c>
      <x:c r="H7" s="12" t="str">
        <x:v>Critical events missing</x:v>
      </x:c>
      <x:c r="I7" s="12" t="str">
        <x:v>Controlled</x:v>
      </x:c>
      <x:c r="J7" s="12" t="str">
        <x:v>Marketing/Analytics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40.380001068115234" hidden="0" customWidth="1"/>
    <x:col min="3" max="3" width="9.130000114440918" hidden="0" customWidth="1"/>
    <x:col min="4" max="4" width="13.880000114440918" hidden="0" customWidth="1"/>
    <x:col min="5" max="5" width="13.130000114440918" hidden="0" customWidth="1"/>
    <x:col min="6" max="6" width="15" hidden="0" customWidth="1"/>
    <x:col min="7" max="7" width="10.25" hidden="0" customWidth="1"/>
    <x:col min="8" max="8" width="9.880000114440918" hidden="0" customWidth="1"/>
    <x:col min="9" max="9" width="7.25" hidden="0" customWidth="1"/>
    <x:col min="10" max="10" width="8.75" hidden="0" customWidth="1"/>
  </x:cols>
  <x:sheetData>
    <x:row r="1">
      <x:c r="A1" s="6" t="str">
        <x:v>ID</x:v>
      </x:c>
      <x:c r="B1" s="12" t="str">
        <x:v>Hypothesis</x:v>
      </x:c>
      <x:c r="C1" s="12" t="str">
        <x:v>Channel</x:v>
      </x:c>
      <x:c r="D1" s="12" t="str">
        <x:v>Variable</x:v>
      </x:c>
      <x:c r="E1" s="12" t="str">
        <x:v>Primary KPI</x:v>
      </x:c>
      <x:c r="F1" s="12" t="str">
        <x:v>Guardrail</x:v>
      </x:c>
      <x:c r="G1" s="12" t="str">
        <x:v>Owner</x:v>
      </x:c>
      <x:c r="H1" s="12" t="str">
        <x:v>Result</x:v>
      </x:c>
      <x:c r="I1" s="12" t="str">
        <x:v>Decision</x:v>
      </x:c>
      <x:c r="J1" s="12" t="str">
        <x:v>Status</x:v>
      </x:c>
    </x:row>
    <x:row r="2">
      <x:c r="A2" s="12" t="str">
        <x:v>EXP-01</x:v>
      </x:c>
      <x:c r="B2" s="12" t="str">
        <x:v>Shorter form improves CVR without quality loss</x:v>
      </x:c>
      <x:c r="C2" s="12" t="str">
        <x:v>Paid Search</x:v>
      </x:c>
      <x:c r="D2" s="12" t="str">
        <x:v>Form length</x:v>
      </x:c>
      <x:c r="E2" s="12" t="str">
        <x:v>LP CVR</x:v>
      </x:c>
      <x:c r="F2" s="12" t="str">
        <x:v>Qualified rate</x:v>
      </x:c>
      <x:c r="G2" s="12" t="str">
        <x:v>Growth</x:v>
      </x:c>
      <x:c r="H2" s="12" t="str">
        <x:v>+1.1 pts CVR</x:v>
      </x:c>
      <x:c r="I2" s="12" t="str">
        <x:v>Adopt</x:v>
      </x:c>
      <x:c r="J2" s="12" t="str">
        <x:v>Complete</x:v>
      </x:c>
    </x:row>
    <x:row r="3">
      <x:c r="A3" s="12" t="str">
        <x:v>EXP-02</x:v>
      </x:c>
      <x:c r="B3" s="12" t="str">
        <x:v>Intent-led creative improves qualified rate</x:v>
      </x:c>
      <x:c r="C3" s="12" t="str">
        <x:v>Paid Social</x:v>
      </x:c>
      <x:c r="D3" s="12" t="str">
        <x:v>Creative/message</x:v>
      </x:c>
      <x:c r="E3" s="12" t="str">
        <x:v>Qualified rate</x:v>
      </x:c>
      <x:c r="F3" s="12" t="str">
        <x:v>CPQL</x:v>
      </x:c>
      <x:c r="G3" s="12" t="str">
        <x:v>Growth</x:v>
      </x:c>
      <x:c r="H3" s="12" t="str">
        <x:v>+6 pts</x:v>
      </x:c>
      <x:c r="I3" s="12" t="str">
        <x:v>Scale</x:v>
      </x:c>
      <x:c r="J3" s="12" t="str">
        <x:v>Complete</x:v>
      </x:c>
    </x:row>
    <x:row r="4">
      <x:c r="A4" s="12" t="str">
        <x:v>EXP-03</x:v>
      </x:c>
      <x:c r="B4" s="12" t="str">
        <x:v>Reduced display prospecting improves portfolio ROAS</x:v>
      </x:c>
      <x:c r="C4" s="12" t="str">
        <x:v>Display</x:v>
      </x:c>
      <x:c r="D4" s="12" t="str">
        <x:v>Budget/mix</x:v>
      </x:c>
      <x:c r="E4" s="12" t="str">
        <x:v>Portfolio ROAS</x:v>
      </x:c>
      <x:c r="F4" s="12" t="str">
        <x:v>Retargeting volume</x:v>
      </x:c>
      <x:c r="G4" s="12" t="str">
        <x:v>Performance</x:v>
      </x:c>
      <x:c r="H4" s="12" t="str">
        <x:v>+0.14x</x:v>
      </x:c>
      <x:c r="I4" s="12" t="str">
        <x:v>Adopt</x:v>
      </x:c>
      <x:c r="J4" s="12" t="str">
        <x:v>Complete</x:v>
      </x:c>
    </x:row>
    <x:row r="5">
      <x:c r="A5" s="12" t="str">
        <x:v>EXP-04</x:v>
      </x:c>
      <x:c r="B5" s="12" t="str">
        <x:v>Faster Sales follow-up improves opportunity rate</x:v>
      </x:c>
      <x:c r="C5" s="12" t="str">
        <x:v>All</x:v>
      </x:c>
      <x:c r="D5" s="12" t="str">
        <x:v>SLA</x:v>
      </x:c>
      <x:c r="E5" s="12" t="str">
        <x:v>Opportunity CVR</x:v>
      </x:c>
      <x:c r="F5" s="12" t="str">
        <x:v>Sales capacity</x:v>
      </x:c>
      <x:c r="G5" s="12" t="str">
        <x:v>Revenue Ops</x:v>
      </x:c>
      <x:c r="H5" s="12" t="str">
        <x:v>+5 pts</x:v>
      </x:c>
      <x:c r="I5" s="12" t="str">
        <x:v>Adopt</x:v>
      </x:c>
      <x:c r="J5" s="12" t="str">
        <x:v>Complete</x:v>
      </x:c>
    </x:row>
    <x:row r="6">
      <x:c r="A6" s="12" t="str">
        <x:v>EXP-05</x:v>
      </x:c>
      <x:c r="B6" s="12" t="str">
        <x:v>New nurture sequence improves conversion</x:v>
      </x:c>
      <x:c r="C6" s="12" t="str">
        <x:v>Email</x:v>
      </x:c>
      <x:c r="D6" s="12" t="str">
        <x:v>Sequence</x:v>
      </x:c>
      <x:c r="E6" s="12" t="str">
        <x:v>Customer CVR</x:v>
      </x:c>
      <x:c r="F6" s="12" t="str">
        <x:v>Unsubscribe</x:v>
      </x:c>
      <x:c r="G6" s="12" t="str">
        <x:v>Lifecycle</x:v>
      </x:c>
      <x:c r="H6" s="12" t="str">
        <x:v>+3 pts</x:v>
      </x:c>
      <x:c r="I6" s="12" t="str">
        <x:v>Continue</x:v>
      </x:c>
      <x:c r="J6" s="12" t="str">
        <x:v>In Progress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12" hidden="0" customWidth="1"/>
    <x:col min="3" max="3" width="8.630000114440918" hidden="0" customWidth="1"/>
    <x:col min="4" max="4" width="10.25" hidden="0" customWidth="1"/>
    <x:col min="5" max="5" width="9.25" hidden="0" customWidth="1"/>
    <x:col min="6" max="6" width="11.380000114440918" hidden="0" customWidth="1"/>
    <x:col min="7" max="7" width="7.630000114440918" hidden="0" customWidth="1"/>
    <x:col min="8" max="8" width="20.8799991607666" hidden="0" customWidth="1"/>
  </x:cols>
  <x:sheetData>
    <x:row r="1">
      <x:c r="A1" s="6" t="str">
        <x:v>Segment/Source</x:v>
      </x:c>
      <x:c r="B1" s="12" t="str">
        <x:v>Qualified Leads</x:v>
      </x:c>
      <x:c r="C1" s="12" t="str">
        <x:v>Within SLA</x:v>
      </x:c>
      <x:c r="D1" s="12" t="str">
        <x:v>SLA %</x:v>
      </x:c>
      <x:c r="E1" s="12" t="str">
        <x:v>Accepted %</x:v>
      </x:c>
      <x:c r="F1" s="12" t="str">
        <x:v>Opportunity %</x:v>
      </x:c>
      <x:c r="G1" s="12" t="str">
        <x:v>Owner</x:v>
      </x:c>
      <x:c r="H1" s="12" t="str">
        <x:v>Action</x:v>
      </x:c>
    </x:row>
    <x:row r="2">
      <x:c r="A2" s="12" t="str">
        <x:v>Paid Search</x:v>
      </x:c>
      <x:c r="B2" s="12" t="n">
        <x:v>430</x:v>
      </x:c>
      <x:c r="C2" s="12" t="n">
        <x:v>408</x:v>
      </x:c>
      <x:c r="D2" s="12" t="n">
        <x:f>C2/B2</x:f>
        <x:v>0.9488372093023256</x:v>
      </x:c>
      <x:c r="E2" s="12" t="n">
        <x:v>0.94</x:v>
      </x:c>
      <x:c r="F2" s="12" t="n">
        <x:v>0.48</x:v>
      </x:c>
      <x:c r="G2" s="12" t="str">
        <x:v>Sales Ops</x:v>
      </x:c>
      <x:c r="H2" s="12" t="str">
        <x:v>Maintain</x:v>
      </x:c>
    </x:row>
    <x:row r="3">
      <x:c r="A3" s="12" t="str">
        <x:v>Paid Social</x:v>
      </x:c>
      <x:c r="B3" s="12" t="n">
        <x:v>390</x:v>
      </x:c>
      <x:c r="C3" s="12" t="n">
        <x:v>359</x:v>
      </x:c>
      <x:c r="D3" s="12" t="n">
        <x:f>C3/B3</x:f>
        <x:v>0.9205128205128205</x:v>
      </x:c>
      <x:c r="E3" s="12" t="n">
        <x:v>0.89</x:v>
      </x:c>
      <x:c r="F3" s="12" t="n">
        <x:v>0.35</x:v>
      </x:c>
      <x:c r="G3" s="12" t="str">
        <x:v>Sales Ops</x:v>
      </x:c>
      <x:c r="H3" s="12" t="str">
        <x:v>Coach exceptions</x:v>
      </x:c>
    </x:row>
    <x:row r="4">
      <x:c r="A4" s="12" t="str">
        <x:v>Display</x:v>
      </x:c>
      <x:c r="B4" s="12" t="n">
        <x:v>145</x:v>
      </x:c>
      <x:c r="C4" s="12" t="n">
        <x:v>128</x:v>
      </x:c>
      <x:c r="D4" s="12" t="n">
        <x:f>C4/B4</x:f>
        <x:v>0.8827586206896552</x:v>
      </x:c>
      <x:c r="E4" s="12" t="n">
        <x:v>0.82</x:v>
      </x:c>
      <x:c r="F4" s="12" t="n">
        <x:v>0.24</x:v>
      </x:c>
      <x:c r="G4" s="12" t="str">
        <x:v>Sales Ops</x:v>
      </x:c>
      <x:c r="H4" s="12" t="str">
        <x:v>Reduce low-quality sources</x:v>
      </x:c>
    </x:row>
    <x:row r="5">
      <x:c r="A5" s="12" t="str">
        <x:v>Video</x:v>
      </x:c>
      <x:c r="B5" s="12" t="n">
        <x:v>155</x:v>
      </x:c>
      <x:c r="C5" s="12" t="n">
        <x:v>143</x:v>
      </x:c>
      <x:c r="D5" s="12" t="n">
        <x:f>C5/B5</x:f>
        <x:v>0.9225806451612903</x:v>
      </x:c>
      <x:c r="E5" s="12" t="n">
        <x:v>0.91</x:v>
      </x:c>
      <x:c r="F5" s="12" t="n">
        <x:v>0.31</x:v>
      </x:c>
      <x:c r="G5" s="12" t="str">
        <x:v>Sales Ops</x:v>
      </x:c>
      <x:c r="H5" s="12" t="str">
        <x:v>Maintain</x:v>
      </x:c>
    </x:row>
    <x:row r="6">
      <x:c r="A6" s="12" t="str">
        <x:v>Email/Nurture</x:v>
      </x:c>
      <x:c r="B6" s="12" t="n">
        <x:v>190</x:v>
      </x:c>
      <x:c r="C6" s="12" t="n">
        <x:v>183</x:v>
      </x:c>
      <x:c r="D6" s="12" t="n">
        <x:f>C6/B6</x:f>
        <x:v>0.9631578947368421</x:v>
      </x:c>
      <x:c r="E6" s="12" t="n">
        <x:v>0.96</x:v>
      </x:c>
      <x:c r="F6" s="12" t="n">
        <x:v>0.52</x:v>
      </x:c>
      <x:c r="G6" s="12" t="str">
        <x:v>Sales Ops</x:v>
      </x:c>
      <x:c r="H6" s="12" t="str">
        <x:v>Scale</x:v>
      </x:c>
    </x:row>
    <x:row r="7">
      <x:c r="A7" s="12" t="str">
        <x:v>Content/Syndication</x:v>
      </x:c>
      <x:c r="B7" s="12" t="n">
        <x:v>270</x:v>
      </x:c>
      <x:c r="C7" s="12" t="n">
        <x:v>257</x:v>
      </x:c>
      <x:c r="D7" s="12" t="n">
        <x:f>C7/B7</x:f>
        <x:v>0.9518518518518518</x:v>
      </x:c>
      <x:c r="E7" s="12" t="n">
        <x:v>0.93</x:v>
      </x:c>
      <x:c r="F7" s="12" t="n">
        <x:v>0.42</x:v>
      </x:c>
      <x:c r="G7" s="12" t="str">
        <x:v>Sales Ops</x:v>
      </x:c>
      <x:c r="H7" s="12" t="str">
        <x:v>Maintain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.380000114440918" hidden="0" customWidth="1"/>
    <x:col min="3" max="3" width="15.25" hidden="0" customWidth="1"/>
    <x:col min="4" max="4" width="14.25" hidden="0" customWidth="1"/>
    <x:col min="5" max="5" width="25.5" hidden="0" customWidth="1"/>
    <x:col min="6" max="6" width="17.1299991607666" hidden="0" customWidth="1"/>
    <x:col min="7" max="7" width="15.25" hidden="0" customWidth="1"/>
    <x:col min="8" max="8" width="5.130000114440918" hidden="0" customWidth="1"/>
    <x:col min="9" max="9" width="6.880000114440918" hidden="0" customWidth="1"/>
  </x:cols>
  <x:sheetData>
    <x:row r="1">
      <x:c r="A1" s="6" t="str">
        <x:v>Control</x:v>
      </x:c>
      <x:c r="B1" s="12" t="str">
        <x:v>Frequency</x:v>
      </x:c>
      <x:c r="C1" s="12" t="str">
        <x:v>Owner</x:v>
      </x:c>
      <x:c r="D1" s="12" t="str">
        <x:v>Evidence</x:v>
      </x:c>
      <x:c r="E1" s="12" t="str">
        <x:v>Threshold</x:v>
      </x:c>
      <x:c r="F1" s="12" t="str">
        <x:v>Response</x:v>
      </x:c>
      <x:c r="G1" s="12" t="str">
        <x:v>Escalation</x:v>
      </x:c>
      <x:c r="H1" s="12" t="str">
        <x:v>Status</x:v>
      </x:c>
      <x:c r="I1" s="12" t="str">
        <x:v>Audit</x:v>
      </x:c>
    </x:row>
    <x:row r="2">
      <x:c r="A2" s="12" t="str">
        <x:v>Spend pacing</x:v>
      </x:c>
      <x:c r="B2" s="12" t="str">
        <x:v>Daily</x:v>
      </x:c>
      <x:c r="C2" s="12" t="str">
        <x:v>Performance Lead</x:v>
      </x:c>
      <x:c r="D2" s="12" t="str">
        <x:v>Platform report</x:v>
      </x:c>
      <x:c r="E2" s="12" t="str">
        <x:v>&lt;=105% plan</x:v>
      </x:c>
      <x:c r="F2" s="12" t="str">
        <x:v>Adjust pacing</x:v>
      </x:c>
      <x:c r="G2" s="12" t="str">
        <x:v>Marketing Manager</x:v>
      </x:c>
      <x:c r="H2" s="12" t="str">
        <x:v>Active</x:v>
      </x:c>
      <x:c r="I2" s="12" t="str">
        <x:v>Weekly</x:v>
      </x:c>
    </x:row>
    <x:row r="3">
      <x:c r="A3" s="12" t="str">
        <x:v>Tracking QA</x:v>
      </x:c>
      <x:c r="B3" s="12" t="str">
        <x:v>Weekly</x:v>
      </x:c>
      <x:c r="C3" s="12" t="str">
        <x:v>Marketing Ops</x:v>
      </x:c>
      <x:c r="D3" s="12" t="str">
        <x:v>QA checklist</x:v>
      </x:c>
      <x:c r="E3" s="12" t="str">
        <x:v>Critical events 100%</x:v>
      </x:c>
      <x:c r="F3" s="12" t="str">
        <x:v>Repair/reconcile</x:v>
      </x:c>
      <x:c r="G3" s="12" t="str">
        <x:v>VP Marketing</x:v>
      </x:c>
      <x:c r="H3" s="12" t="str">
        <x:v>Active</x:v>
      </x:c>
      <x:c r="I3" s="12" t="str">
        <x:v>Weekly</x:v>
      </x:c>
    </x:row>
    <x:row r="4">
      <x:c r="A4" s="12" t="str">
        <x:v>Lead quality</x:v>
      </x:c>
      <x:c r="B4" s="12" t="str">
        <x:v>Weekly</x:v>
      </x:c>
      <x:c r="C4" s="12" t="str">
        <x:v>Demand Gen</x:v>
      </x:c>
      <x:c r="D4" s="12" t="str">
        <x:v>CRM report</x:v>
      </x:c>
      <x:c r="E4" s="12" t="str">
        <x:v>&gt;=55% target</x:v>
      </x:c>
      <x:c r="F4" s="12" t="str">
        <x:v>Adjust targeting</x:v>
      </x:c>
      <x:c r="G4" s="12" t="str">
        <x:v>Revenue Ops</x:v>
      </x:c>
      <x:c r="H4" s="12" t="str">
        <x:v>Active</x:v>
      </x:c>
      <x:c r="I4" s="12" t="str">
        <x:v>Weekly</x:v>
      </x:c>
    </x:row>
    <x:row r="5">
      <x:c r="A5" s="12" t="str">
        <x:v>Sales SLA</x:v>
      </x:c>
      <x:c r="B5" s="12" t="str">
        <x:v>Weekly</x:v>
      </x:c>
      <x:c r="C5" s="12" t="str">
        <x:v>Sales Ops</x:v>
      </x:c>
      <x:c r="D5" s="12" t="str">
        <x:v>SLA report</x:v>
      </x:c>
      <x:c r="E5" s="12" t="str">
        <x:v>&gt;=92%</x:v>
      </x:c>
      <x:c r="F5" s="12" t="str">
        <x:v>Exception coaching</x:v>
      </x:c>
      <x:c r="G5" s="12" t="str">
        <x:v>Sales leader</x:v>
      </x:c>
      <x:c r="H5" s="12" t="str">
        <x:v>Active</x:v>
      </x:c>
      <x:c r="I5" s="12" t="str">
        <x:v>Weekly</x:v>
      </x:c>
    </x:row>
    <x:row r="6">
      <x:c r="A6" s="12" t="str">
        <x:v>Creative fatigue</x:v>
      </x:c>
      <x:c r="B6" s="12" t="str">
        <x:v>Weekly</x:v>
      </x:c>
      <x:c r="C6" s="12" t="str">
        <x:v>Creative Lead</x:v>
      </x:c>
      <x:c r="D6" s="12" t="str">
        <x:v>Creative scorecard</x:v>
      </x:c>
      <x:c r="E6" s="12" t="str">
        <x:v>No &gt;20% deterioration</x:v>
      </x:c>
      <x:c r="F6" s="12" t="str">
        <x:v>Rotate/test</x:v>
      </x:c>
      <x:c r="G6" s="12" t="str">
        <x:v>Marketing Manager</x:v>
      </x:c>
      <x:c r="H6" s="12" t="str">
        <x:v>Active</x:v>
      </x:c>
      <x:c r="I6" s="12" t="str">
        <x:v>Weekly</x:v>
      </x:c>
    </x:row>
    <x:row r="7">
      <x:c r="A7" s="12" t="str">
        <x:v>Budget decision log</x:v>
      </x:c>
      <x:c r="B7" s="12" t="str">
        <x:v>Weekly</x:v>
      </x:c>
      <x:c r="C7" s="12" t="str">
        <x:v>Marketing Manager</x:v>
      </x:c>
      <x:c r="D7" s="12" t="str">
        <x:v>Decision log</x:v>
      </x:c>
      <x:c r="E7" s="12" t="str">
        <x:v>100% material shifts documented</x:v>
      </x:c>
      <x:c r="F7" s="12" t="str">
        <x:v>Hold unapproved shift</x:v>
      </x:c>
      <x:c r="G7" s="12" t="str">
        <x:v>VP Marketing</x:v>
      </x:c>
      <x:c r="H7" s="12" t="str">
        <x:v>Active</x:v>
      </x:c>
      <x:c r="I7" s="12" t="str">
        <x:v>Monthly</x:v>
      </x:c>
    </x:row>
  </x:sheetData>
  <x:pageMargins left="0.7" right="0.7" top="0.75" bottom="0.75" header="0.3" footer="0.3"/>
</x:worksheet>
</file>